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VitalMind_AI_Corregido\docs\11-tiempo\"/>
    </mc:Choice>
  </mc:AlternateContent>
  <xr:revisionPtr revIDLastSave="0" documentId="13_ncr:1_{822E476F-9B55-4D80-AED7-1E8A3F9B34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ronograma" sheetId="1" r:id="rId1"/>
    <sheet name="Gantt" sheetId="2" r:id="rId2"/>
  </sheets>
  <calcPr calcId="181029"/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<sst xmlns="http://schemas.openxmlformats.org/spreadsheetml/2006/main" count="195" uniqueCount="67">
  <si>
    <t>VitalMind AI - Cronograma de planificación académica</t>
  </si>
  <si>
    <t>ID</t>
  </si>
  <si>
    <t>Actividad</t>
  </si>
  <si>
    <t>Responsable</t>
  </si>
  <si>
    <t>Inicio</t>
  </si>
  <si>
    <t>Fin</t>
  </si>
  <si>
    <t>Duración (días)</t>
  </si>
  <si>
    <t>Dependencia</t>
  </si>
  <si>
    <t>Estado</t>
  </si>
  <si>
    <t>T01</t>
  </si>
  <si>
    <t>Planeación del proyecto</t>
  </si>
  <si>
    <t>Yazmin Gutierrez Hernandez</t>
  </si>
  <si>
    <t>T02</t>
  </si>
  <si>
    <t>Investigación y contexto</t>
  </si>
  <si>
    <t>Obed Guzmán Flores</t>
  </si>
  <si>
    <t>Planeación</t>
  </si>
  <si>
    <t>T03</t>
  </si>
  <si>
    <t>Definición de requerimientos</t>
  </si>
  <si>
    <t>Investigación</t>
  </si>
  <si>
    <t>T04</t>
  </si>
  <si>
    <t>Diseño de la aplicación</t>
  </si>
  <si>
    <t>Requerimientos</t>
  </si>
  <si>
    <t>T05</t>
  </si>
  <si>
    <t>Diseño de interfaz para smartwatch</t>
  </si>
  <si>
    <t>Diseño aplicación</t>
  </si>
  <si>
    <t>T06</t>
  </si>
  <si>
    <t>Modelo de datos</t>
  </si>
  <si>
    <t>Michelle Castro Otero</t>
  </si>
  <si>
    <t>T07</t>
  </si>
  <si>
    <t>Servicios backend</t>
  </si>
  <si>
    <t>Carlos Daniel Garcia Pluma / Jennifer Bautista Barrios</t>
  </si>
  <si>
    <t>T08</t>
  </si>
  <si>
    <t>Sincronización con smartwatch</t>
  </si>
  <si>
    <t>Backend / selección wearable</t>
  </si>
  <si>
    <t>T09</t>
  </si>
  <si>
    <t>Visualización de mediciones</t>
  </si>
  <si>
    <t>Datos / diseño</t>
  </si>
  <si>
    <t>T10</t>
  </si>
  <si>
    <t>Registro digital de medicamentos</t>
  </si>
  <si>
    <t>Jennifer Bautista Barrios</t>
  </si>
  <si>
    <t>Backend</t>
  </si>
  <si>
    <t>T11</t>
  </si>
  <si>
    <t>Recordatorios y confirmación manual</t>
  </si>
  <si>
    <t>Carlos Daniel Garcia Pluma</t>
  </si>
  <si>
    <t>Registro medicamentos</t>
  </si>
  <si>
    <t>T12</t>
  </si>
  <si>
    <t>Módulos de análisis e IA</t>
  </si>
  <si>
    <t>Datos disponibles</t>
  </si>
  <si>
    <t>T13</t>
  </si>
  <si>
    <t>Seguridad y privacidad</t>
  </si>
  <si>
    <t>T14</t>
  </si>
  <si>
    <t>Preparación y pruebas planificadas</t>
  </si>
  <si>
    <t>Citlalli Perez Dionicio</t>
  </si>
  <si>
    <t>Módulos integrables</t>
  </si>
  <si>
    <t>T15</t>
  </si>
  <si>
    <t>Documentación continua</t>
  </si>
  <si>
    <t>T16</t>
  </si>
  <si>
    <t>Integración final</t>
  </si>
  <si>
    <t>Equipo completo</t>
  </si>
  <si>
    <t>Módulos priorizados</t>
  </si>
  <si>
    <t>T17</t>
  </si>
  <si>
    <t>Entrega académica</t>
  </si>
  <si>
    <t>Integración y documentos</t>
  </si>
  <si>
    <t>VitalMind AI - Vista Gantt</t>
  </si>
  <si>
    <t>■</t>
  </si>
  <si>
    <t>Concluido</t>
  </si>
  <si>
    <t>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</si>
</sst>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-mmm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1746A2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8"/>
      <color rgb="FFFFFFFF"/>
      <name val="Carlito"/>
    </font>
    <font>
      <b/>
      <sz val="11"/>
      <color rgb="FF1746A2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5E"/>
      </patternFill>
    </fill>
    <fill>
      <patternFill patternType="solid">
        <fgColor rgb="FFEEF3FA"/>
      </patternFill>
    </fill>
    <fill>
      <patternFill patternType="solid">
        <fgColor rgb="FF1746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5" fillId="4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2">
    <dxf>
      <font>
        <color rgb="FF5A19D6"/>
      </font>
      <fill>
        <patternFill>
          <bgColor rgb="FFF0E8FF"/>
        </patternFill>
      </fill>
    </dxf>
    <dxf>
      <font>
        <b/>
        <color rgb="FF0B1F5E"/>
      </font>
      <fill>
        <patternFill>
          <bgColor rgb="FFD9F3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4" workbookViewId="0">
      <selection activeCell="D23" sqref="D23"/>
    </sheetView>
  </sheetViews>
  <sheetFormatPr baseColWidth="10" defaultColWidth="9" defaultRowHeight="14.25"/>
  <cols>
    <col min="1" max="1" width="8" customWidth="1"/>
    <col min="2" max="2" width="34" customWidth="1"/>
    <col min="3" max="3" width="31" customWidth="1"/>
    <col min="4" max="5" width="13" customWidth="1"/>
    <col min="6" max="6" width="14" customWidth="1"/>
    <col min="7" max="7" width="25" customWidth="1"/>
    <col min="8" max="8" width="23" customWidth="1"/>
  </cols>
  <sheetData>
    <row r="1" spans="1:8" ht="27.9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ht="33.950000000000003" customHeight="1">
      <c r="A2" s="8"/>
      <c r="B2" s="8"/>
      <c r="C2" s="8"/>
      <c r="D2" s="8"/>
      <c r="E2" s="8"/>
      <c r="F2" s="8"/>
      <c r="G2" s="8"/>
      <c r="H2" s="8"/>
    </row>
    <row r="4" spans="1:8" ht="30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>
      <c r="A5" s="3" t="s">
        <v>9</v>
      </c>
      <c r="B5" s="3" t="s">
        <v>10</v>
      </c>
      <c r="C5" s="3" t="s">
        <v>11</v>
      </c>
      <c r="D5" s="4">
        <v>46162</v>
      </c>
      <c r="E5" s="4">
        <v>46171</v>
      </c>
      <c r="F5" s="3">
        <f t="shared" ref="F5:F21" si="0">E5-D5+1</f>
        <v>10</v>
      </c>
      <c r="G5" s="3" t="s">
        <v>4</v>
      </c>
      <c r="H5" s="3" t="s">
        <v>65</v>
      </c>
    </row>
    <row r="6" spans="1:8">
      <c r="A6" s="3" t="s">
        <v>12</v>
      </c>
      <c r="B6" s="3" t="s">
        <v>13</v>
      </c>
      <c r="C6" s="3" t="s">
        <v>14</v>
      </c>
      <c r="D6" s="4">
        <v>46167</v>
      </c>
      <c r="E6" s="4">
        <v>46178</v>
      </c>
      <c r="F6" s="3">
        <f t="shared" si="0"/>
        <v>12</v>
      </c>
      <c r="G6" s="3" t="s">
        <v>15</v>
      </c>
      <c r="H6" s="3" t="s">
        <v>65</v>
      </c>
    </row>
    <row r="7" spans="1:8">
      <c r="A7" s="3" t="s">
        <v>16</v>
      </c>
      <c r="B7" s="3" t="s">
        <v>17</v>
      </c>
      <c r="C7" s="3" t="s">
        <v>14</v>
      </c>
      <c r="D7" s="4">
        <v>46174</v>
      </c>
      <c r="E7" s="4">
        <v>46185</v>
      </c>
      <c r="F7" s="3">
        <f t="shared" si="0"/>
        <v>12</v>
      </c>
      <c r="G7" s="3" t="s">
        <v>18</v>
      </c>
      <c r="H7" s="3" t="s">
        <v>65</v>
      </c>
    </row>
    <row r="8" spans="1:8">
      <c r="A8" s="3" t="s">
        <v>19</v>
      </c>
      <c r="B8" s="3" t="s">
        <v>20</v>
      </c>
      <c r="C8" s="3" t="s">
        <v>11</v>
      </c>
      <c r="D8" s="4">
        <v>46181</v>
      </c>
      <c r="E8" s="4">
        <v>46192</v>
      </c>
      <c r="F8" s="3">
        <f t="shared" si="0"/>
        <v>12</v>
      </c>
      <c r="G8" s="3" t="s">
        <v>21</v>
      </c>
      <c r="H8" s="3" t="s">
        <v>65</v>
      </c>
    </row>
    <row r="9" spans="1:8">
      <c r="A9" s="3" t="s">
        <v>22</v>
      </c>
      <c r="B9" s="3" t="s">
        <v>23</v>
      </c>
      <c r="C9" s="3" t="s">
        <v>11</v>
      </c>
      <c r="D9" s="4">
        <v>46234</v>
      </c>
      <c r="E9" s="4">
        <v>46242</v>
      </c>
      <c r="F9" s="3">
        <f t="shared" si="0"/>
        <v>9</v>
      </c>
      <c r="G9" s="3" t="s">
        <v>24</v>
      </c>
      <c r="H9" s="3" t="s">
        <v>66</v>
      </c>
    </row>
    <row r="10" spans="1:8">
      <c r="A10" s="3" t="s">
        <v>25</v>
      </c>
      <c r="B10" s="3" t="s">
        <v>26</v>
      </c>
      <c r="C10" s="3" t="s">
        <v>27</v>
      </c>
      <c r="D10" s="4">
        <v>46228</v>
      </c>
      <c r="E10" s="4">
        <v>46240</v>
      </c>
      <c r="F10" s="3">
        <f t="shared" si="0"/>
        <v>13</v>
      </c>
      <c r="G10" s="3" t="s">
        <v>21</v>
      </c>
      <c r="H10" s="3" t="s">
        <v>65</v>
      </c>
    </row>
    <row r="11" spans="1:8" ht="28.5">
      <c r="A11" s="3" t="s">
        <v>28</v>
      </c>
      <c r="B11" s="3" t="s">
        <v>29</v>
      </c>
      <c r="C11" s="3" t="s">
        <v>30</v>
      </c>
      <c r="D11" s="4">
        <v>46219</v>
      </c>
      <c r="E11" s="4">
        <v>46250</v>
      </c>
      <c r="F11" s="3">
        <f t="shared" si="0"/>
        <v>32</v>
      </c>
      <c r="G11" s="3" t="s">
        <v>26</v>
      </c>
      <c r="H11" s="3" t="s">
        <v>66</v>
      </c>
    </row>
    <row r="12" spans="1:8" ht="28.5">
      <c r="A12" s="3" t="s">
        <v>31</v>
      </c>
      <c r="B12" s="3" t="s">
        <v>32</v>
      </c>
      <c r="C12" s="3" t="s">
        <v>30</v>
      </c>
      <c r="D12" s="4">
        <v>46231</v>
      </c>
      <c r="E12" s="4">
        <v>46250</v>
      </c>
      <c r="F12" s="3">
        <f t="shared" si="0"/>
        <v>20</v>
      </c>
      <c r="G12" s="3" t="s">
        <v>33</v>
      </c>
      <c r="H12" s="3" t="s">
        <v>66</v>
      </c>
    </row>
    <row r="13" spans="1:8">
      <c r="A13" s="3" t="s">
        <v>34</v>
      </c>
      <c r="B13" s="3" t="s">
        <v>35</v>
      </c>
      <c r="C13" s="3" t="s">
        <v>11</v>
      </c>
      <c r="D13" s="4">
        <v>46231</v>
      </c>
      <c r="E13" s="4">
        <v>46250</v>
      </c>
      <c r="F13" s="3">
        <f t="shared" si="0"/>
        <v>20</v>
      </c>
      <c r="G13" s="3" t="s">
        <v>36</v>
      </c>
      <c r="H13" s="3" t="s">
        <v>66</v>
      </c>
    </row>
    <row r="14" spans="1:8">
      <c r="A14" s="3" t="s">
        <v>37</v>
      </c>
      <c r="B14" s="3" t="s">
        <v>38</v>
      </c>
      <c r="C14" s="3" t="s">
        <v>39</v>
      </c>
      <c r="D14" s="4">
        <v>46216</v>
      </c>
      <c r="E14" s="4">
        <v>46227</v>
      </c>
      <c r="F14" s="3">
        <f t="shared" si="0"/>
        <v>12</v>
      </c>
      <c r="G14" s="3" t="s">
        <v>40</v>
      </c>
      <c r="H14" s="3" t="s">
        <v>66</v>
      </c>
    </row>
    <row r="15" spans="1:8">
      <c r="A15" s="3" t="s">
        <v>41</v>
      </c>
      <c r="B15" s="3" t="s">
        <v>42</v>
      </c>
      <c r="C15" s="3" t="s">
        <v>43</v>
      </c>
      <c r="D15" s="4">
        <v>46231</v>
      </c>
      <c r="E15" s="4">
        <v>46238</v>
      </c>
      <c r="F15" s="3">
        <f t="shared" si="0"/>
        <v>8</v>
      </c>
      <c r="G15" s="3" t="s">
        <v>44</v>
      </c>
      <c r="H15" s="3" t="s">
        <v>66</v>
      </c>
    </row>
    <row r="16" spans="1:8">
      <c r="A16" s="3" t="s">
        <v>45</v>
      </c>
      <c r="B16" s="3" t="s">
        <v>46</v>
      </c>
      <c r="C16" s="3" t="s">
        <v>27</v>
      </c>
      <c r="D16" s="4">
        <v>46230</v>
      </c>
      <c r="E16" s="4">
        <v>46241</v>
      </c>
      <c r="F16" s="3">
        <f t="shared" si="0"/>
        <v>12</v>
      </c>
      <c r="G16" s="3" t="s">
        <v>47</v>
      </c>
      <c r="H16" s="3" t="s">
        <v>66</v>
      </c>
    </row>
    <row r="17" spans="1:8">
      <c r="A17" s="3" t="s">
        <v>48</v>
      </c>
      <c r="B17" s="3" t="s">
        <v>49</v>
      </c>
      <c r="C17" s="3" t="s">
        <v>43</v>
      </c>
      <c r="D17" s="4">
        <v>46237</v>
      </c>
      <c r="E17" s="4">
        <v>46244</v>
      </c>
      <c r="F17" s="3">
        <f t="shared" si="0"/>
        <v>8</v>
      </c>
      <c r="G17" s="3" t="s">
        <v>40</v>
      </c>
      <c r="H17" s="3" t="s">
        <v>66</v>
      </c>
    </row>
    <row r="18" spans="1:8">
      <c r="A18" s="3" t="s">
        <v>50</v>
      </c>
      <c r="B18" s="3" t="s">
        <v>51</v>
      </c>
      <c r="C18" s="3" t="s">
        <v>52</v>
      </c>
      <c r="D18" s="4">
        <v>46239</v>
      </c>
      <c r="E18" s="4">
        <v>46251</v>
      </c>
      <c r="F18" s="3">
        <f t="shared" si="0"/>
        <v>13</v>
      </c>
      <c r="G18" s="3" t="s">
        <v>53</v>
      </c>
      <c r="H18" s="3" t="s">
        <v>66</v>
      </c>
    </row>
    <row r="19" spans="1:8">
      <c r="A19" s="3" t="s">
        <v>54</v>
      </c>
      <c r="B19" s="3" t="s">
        <v>55</v>
      </c>
      <c r="C19" s="3" t="s">
        <v>14</v>
      </c>
      <c r="D19" s="4">
        <v>46162</v>
      </c>
      <c r="E19" s="4">
        <v>46252</v>
      </c>
      <c r="F19" s="3">
        <f t="shared" si="0"/>
        <v>91</v>
      </c>
      <c r="G19" s="3" t="s">
        <v>4</v>
      </c>
      <c r="H19" s="3" t="s">
        <v>65</v>
      </c>
    </row>
    <row r="20" spans="1:8">
      <c r="A20" s="3" t="s">
        <v>56</v>
      </c>
      <c r="B20" s="3" t="s">
        <v>57</v>
      </c>
      <c r="C20" s="3" t="s">
        <v>58</v>
      </c>
      <c r="D20" s="4">
        <v>46244</v>
      </c>
      <c r="E20" s="4">
        <v>46254</v>
      </c>
      <c r="F20" s="3">
        <f t="shared" si="0"/>
        <v>11</v>
      </c>
      <c r="G20" s="3" t="s">
        <v>59</v>
      </c>
      <c r="H20" s="3" t="s">
        <v>66</v>
      </c>
    </row>
    <row r="21" spans="1:8">
      <c r="A21" s="3" t="s">
        <v>60</v>
      </c>
      <c r="B21" s="3" t="s">
        <v>61</v>
      </c>
      <c r="C21" s="3" t="s">
        <v>58</v>
      </c>
      <c r="D21" s="4">
        <v>46248</v>
      </c>
      <c r="E21" s="4">
        <v>46254</v>
      </c>
      <c r="F21" s="3">
        <f t="shared" si="0"/>
        <v>7</v>
      </c>
      <c r="G21" s="3" t="s">
        <v>62</v>
      </c>
      <c r="H21" s="3" t="s">
        <v>66</v>
      </c>
    </row>
  </sheetData>
  <mergeCells count="2">
    <mergeCell ref="A1:H1"/>
    <mergeCell ref="A2:H2"/>
  </mergeCells>
  <conditionalFormatting sqref="H5:H21">
    <cfRule type="expression" dxfId="1" priority="1">
      <formula>H5="Hito programado"</formula>
    </cfRule>
    <cfRule type="expression" dxfId="0" priority="2">
      <formula>H5="En elaboración académica"</formula>
    </cfRule>
  </conditionalFormatting>
  <dataValidations count="1">
    <dataValidation type="list" sqref="H5:H21" xr:uid="{00000000-0002-0000-0000-000000000000}">
      <formula1>"Planificación académica,En elaboración académica,Hito programado"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"/>
  <sheetViews>
    <sheetView zoomScale="89" workbookViewId="0">
      <selection activeCell="E5" sqref="E5"/>
    </sheetView>
  </sheetViews>
  <sheetFormatPr baseColWidth="10" defaultColWidth="9" defaultRowHeight="14.25"/>
  <cols>
    <col min="1" max="1" width="8" customWidth="1"/>
    <col min="2" max="2" width="32" customWidth="1"/>
    <col min="3" max="3" width="29" customWidth="1"/>
    <col min="4" max="4" width="6.75" customWidth="1"/>
    <col min="5" max="18" width="6" customWidth="1"/>
  </cols>
  <sheetData>
    <row r="1" spans="1:19" ht="27.95" customHeight="1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spans="1:19" ht="15">
      <c r="A4" s="1" t="s">
        <v>1</v>
      </c>
      <c r="B4" s="1" t="s">
        <v>2</v>
      </c>
      <c r="C4" s="1" t="s">
        <v>3</v>
      </c>
      <c r="D4" s="1"/>
      <c r="E4" s="5">
        <v>46160</v>
      </c>
      <c r="F4" s="5">
        <v>46167</v>
      </c>
      <c r="G4" s="5">
        <v>46174</v>
      </c>
      <c r="H4" s="5">
        <v>46181</v>
      </c>
      <c r="I4" s="5">
        <v>46188</v>
      </c>
      <c r="J4" s="5">
        <v>46195</v>
      </c>
      <c r="K4" s="5">
        <v>46202</v>
      </c>
      <c r="L4" s="5">
        <v>46209</v>
      </c>
      <c r="M4" s="5">
        <v>46216</v>
      </c>
      <c r="N4" s="5">
        <v>46223</v>
      </c>
      <c r="O4" s="5">
        <v>46230</v>
      </c>
      <c r="P4" s="5">
        <v>46237</v>
      </c>
      <c r="Q4" s="5">
        <v>46254</v>
      </c>
      <c r="R4" s="5">
        <v>46256</v>
      </c>
    </row>
    <row r="5" spans="1:19" ht="15">
      <c r="A5" s="2" t="s">
        <v>9</v>
      </c>
      <c r="B5" s="2" t="s">
        <v>10</v>
      </c>
      <c r="C5" s="2" t="s">
        <v>11</v>
      </c>
      <c r="D5" s="2"/>
      <c r="E5" s="6" t="s">
        <v>64</v>
      </c>
      <c r="F5" s="6" t="s">
        <v>64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9" ht="15">
      <c r="A6" s="2" t="s">
        <v>12</v>
      </c>
      <c r="B6" s="2" t="s">
        <v>13</v>
      </c>
      <c r="C6" s="2" t="s">
        <v>14</v>
      </c>
      <c r="D6" s="2"/>
      <c r="E6" s="6"/>
      <c r="F6" s="6" t="s">
        <v>64</v>
      </c>
      <c r="G6" s="6" t="s">
        <v>64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9" ht="15">
      <c r="A7" s="2" t="s">
        <v>16</v>
      </c>
      <c r="B7" s="2" t="s">
        <v>17</v>
      </c>
      <c r="C7" s="2" t="s">
        <v>14</v>
      </c>
      <c r="D7" s="2"/>
      <c r="E7" s="6"/>
      <c r="F7" s="6"/>
      <c r="G7" s="6" t="s">
        <v>64</v>
      </c>
      <c r="H7" s="6" t="s">
        <v>64</v>
      </c>
      <c r="I7" s="6"/>
      <c r="J7" s="6"/>
      <c r="K7" s="6"/>
      <c r="L7" s="6"/>
      <c r="M7" s="6"/>
      <c r="N7" s="6"/>
      <c r="O7" s="6"/>
      <c r="P7" s="6"/>
      <c r="Q7" s="6"/>
      <c r="R7" s="6"/>
    </row>
    <row r="8" spans="1:19" ht="15">
      <c r="A8" s="2" t="s">
        <v>19</v>
      </c>
      <c r="B8" s="2" t="s">
        <v>20</v>
      </c>
      <c r="C8" s="2" t="s">
        <v>11</v>
      </c>
      <c r="D8" s="2"/>
      <c r="E8" s="6"/>
      <c r="F8" s="6"/>
      <c r="G8" s="6"/>
      <c r="H8" s="6" t="s">
        <v>64</v>
      </c>
      <c r="I8" s="6" t="s">
        <v>64</v>
      </c>
      <c r="J8" s="6"/>
      <c r="K8" s="6"/>
      <c r="L8" s="6"/>
      <c r="M8" s="6"/>
      <c r="N8" s="6"/>
      <c r="O8" s="6"/>
      <c r="P8" s="6"/>
      <c r="Q8" s="6"/>
      <c r="R8" s="6"/>
    </row>
    <row r="9" spans="1:19" ht="15">
      <c r="A9" s="2" t="s">
        <v>22</v>
      </c>
      <c r="B9" s="2" t="s">
        <v>23</v>
      </c>
      <c r="C9" s="2" t="s">
        <v>11</v>
      </c>
      <c r="D9" s="2"/>
      <c r="E9" s="6"/>
      <c r="F9" s="6"/>
      <c r="G9" s="6"/>
      <c r="H9" s="6"/>
      <c r="I9" s="6" t="s">
        <v>64</v>
      </c>
      <c r="J9" s="6" t="s">
        <v>64</v>
      </c>
      <c r="K9" s="6"/>
      <c r="L9" s="6"/>
      <c r="M9" s="6"/>
      <c r="N9" s="6"/>
      <c r="O9" s="6"/>
      <c r="P9" s="6"/>
      <c r="Q9" s="6"/>
      <c r="R9" s="6"/>
    </row>
    <row r="10" spans="1:19" ht="15">
      <c r="A10" s="2" t="s">
        <v>25</v>
      </c>
      <c r="B10" s="2" t="s">
        <v>26</v>
      </c>
      <c r="C10" s="2" t="s">
        <v>27</v>
      </c>
      <c r="D10" s="2"/>
      <c r="E10" s="6"/>
      <c r="F10" s="6"/>
      <c r="G10" s="6"/>
      <c r="H10" s="6"/>
      <c r="I10" s="6"/>
      <c r="J10" s="6" t="s">
        <v>64</v>
      </c>
      <c r="K10" s="6" t="s">
        <v>64</v>
      </c>
      <c r="L10" s="6"/>
      <c r="M10" s="6"/>
      <c r="N10" s="6"/>
      <c r="O10" s="6"/>
      <c r="P10" s="6"/>
      <c r="Q10" s="6"/>
      <c r="R10" s="6"/>
    </row>
    <row r="11" spans="1:19" ht="28.5">
      <c r="A11" s="2" t="s">
        <v>28</v>
      </c>
      <c r="B11" s="2" t="s">
        <v>29</v>
      </c>
      <c r="C11" s="2" t="s">
        <v>30</v>
      </c>
      <c r="D11" s="2"/>
      <c r="E11" s="6"/>
      <c r="F11" s="6"/>
      <c r="G11" s="6"/>
      <c r="H11" s="6"/>
      <c r="I11" s="6"/>
      <c r="J11" s="6"/>
      <c r="K11" s="6" t="s">
        <v>64</v>
      </c>
      <c r="L11" s="6" t="s">
        <v>64</v>
      </c>
      <c r="M11" s="6" t="s">
        <v>64</v>
      </c>
      <c r="N11" s="6"/>
      <c r="O11" s="6"/>
      <c r="P11" s="6"/>
      <c r="Q11" s="6"/>
      <c r="R11" s="6"/>
    </row>
    <row r="12" spans="1:19" ht="28.5">
      <c r="A12" s="2" t="s">
        <v>31</v>
      </c>
      <c r="B12" s="2" t="s">
        <v>32</v>
      </c>
      <c r="C12" s="2" t="s">
        <v>30</v>
      </c>
      <c r="D12" s="2"/>
      <c r="E12" s="6"/>
      <c r="F12" s="6"/>
      <c r="G12" s="6"/>
      <c r="H12" s="6"/>
      <c r="I12" s="6"/>
      <c r="J12" s="6"/>
      <c r="K12" s="6"/>
      <c r="L12" s="6"/>
      <c r="M12" s="6"/>
      <c r="N12" s="6" t="s">
        <v>64</v>
      </c>
      <c r="O12" s="6" t="s">
        <v>64</v>
      </c>
      <c r="P12" s="6" t="s">
        <v>64</v>
      </c>
      <c r="Q12" s="6"/>
      <c r="R12" s="6"/>
    </row>
    <row r="13" spans="1:19" ht="15">
      <c r="A13" s="2" t="s">
        <v>34</v>
      </c>
      <c r="B13" s="2" t="s">
        <v>35</v>
      </c>
      <c r="C13" s="2" t="s">
        <v>11</v>
      </c>
      <c r="D13" s="2"/>
      <c r="E13" s="6"/>
      <c r="F13" s="6"/>
      <c r="G13" s="6"/>
      <c r="H13" s="6"/>
      <c r="I13" s="6"/>
      <c r="J13" s="6"/>
      <c r="K13" s="6"/>
      <c r="L13" s="6"/>
      <c r="M13" s="6" t="s">
        <v>64</v>
      </c>
      <c r="N13" s="6" t="s">
        <v>64</v>
      </c>
      <c r="O13" s="6" t="s">
        <v>64</v>
      </c>
      <c r="P13" s="6"/>
      <c r="Q13" s="6"/>
      <c r="R13" s="6"/>
    </row>
    <row r="14" spans="1:19" ht="15">
      <c r="A14" s="2" t="s">
        <v>37</v>
      </c>
      <c r="B14" s="2" t="s">
        <v>38</v>
      </c>
      <c r="C14" s="2" t="s">
        <v>39</v>
      </c>
      <c r="D14" s="2"/>
      <c r="E14" s="6"/>
      <c r="F14" s="6"/>
      <c r="G14" s="6"/>
      <c r="H14" s="6"/>
      <c r="I14" s="6"/>
      <c r="J14" s="6"/>
      <c r="K14" s="6"/>
      <c r="L14" s="6"/>
      <c r="M14" s="6" t="s">
        <v>64</v>
      </c>
      <c r="N14" s="6" t="s">
        <v>64</v>
      </c>
      <c r="O14" s="6"/>
      <c r="P14" s="6"/>
      <c r="Q14" s="6"/>
      <c r="R14" s="6"/>
    </row>
    <row r="15" spans="1:19" ht="15">
      <c r="A15" s="2" t="s">
        <v>41</v>
      </c>
      <c r="B15" s="2" t="s">
        <v>42</v>
      </c>
      <c r="C15" s="2" t="s">
        <v>43</v>
      </c>
      <c r="D15" s="2"/>
      <c r="E15" s="6"/>
      <c r="F15" s="6"/>
      <c r="G15" s="6"/>
      <c r="H15" s="6"/>
      <c r="I15" s="6"/>
      <c r="J15" s="6"/>
      <c r="K15" s="6"/>
      <c r="L15" s="6"/>
      <c r="M15" s="6"/>
      <c r="N15" s="6" t="s">
        <v>64</v>
      </c>
      <c r="O15" s="6" t="s">
        <v>64</v>
      </c>
      <c r="P15" s="6"/>
      <c r="Q15" s="6"/>
      <c r="R15" s="6"/>
    </row>
    <row r="16" spans="1:19" ht="15">
      <c r="A16" s="2" t="s">
        <v>45</v>
      </c>
      <c r="B16" s="2" t="s">
        <v>46</v>
      </c>
      <c r="C16" s="2" t="s">
        <v>27</v>
      </c>
      <c r="D16" s="2"/>
      <c r="E16" s="6"/>
      <c r="F16" s="6"/>
      <c r="G16" s="6"/>
      <c r="H16" s="6"/>
      <c r="I16" s="6"/>
      <c r="J16" s="6"/>
      <c r="K16" s="6"/>
      <c r="L16" s="6"/>
      <c r="M16" s="6"/>
      <c r="N16" s="6"/>
      <c r="O16" s="6" t="s">
        <v>64</v>
      </c>
      <c r="P16" s="6" t="s">
        <v>64</v>
      </c>
      <c r="Q16" s="6"/>
      <c r="R16" s="6"/>
    </row>
    <row r="17" spans="1:18" ht="15">
      <c r="A17" s="2" t="s">
        <v>48</v>
      </c>
      <c r="B17" s="2" t="s">
        <v>49</v>
      </c>
      <c r="C17" s="2" t="s">
        <v>43</v>
      </c>
      <c r="D17" s="2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 t="s">
        <v>64</v>
      </c>
      <c r="Q17" s="6" t="s">
        <v>64</v>
      </c>
      <c r="R17" s="6"/>
    </row>
    <row r="18" spans="1:18" ht="15">
      <c r="A18" s="2" t="s">
        <v>50</v>
      </c>
      <c r="B18" s="2" t="s">
        <v>51</v>
      </c>
      <c r="C18" s="2" t="s">
        <v>52</v>
      </c>
      <c r="D18" s="2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 t="s">
        <v>64</v>
      </c>
      <c r="Q18" s="6" t="s">
        <v>64</v>
      </c>
      <c r="R18" s="6"/>
    </row>
    <row r="19" spans="1:18" ht="15">
      <c r="A19" s="2" t="s">
        <v>54</v>
      </c>
      <c r="B19" s="2" t="s">
        <v>55</v>
      </c>
      <c r="C19" s="2" t="s">
        <v>14</v>
      </c>
      <c r="D19" s="2"/>
      <c r="E19" s="6" t="s">
        <v>64</v>
      </c>
      <c r="F19" s="6" t="s">
        <v>64</v>
      </c>
      <c r="G19" s="6" t="s">
        <v>64</v>
      </c>
      <c r="H19" s="6" t="s">
        <v>64</v>
      </c>
      <c r="I19" s="6" t="s">
        <v>64</v>
      </c>
      <c r="J19" s="6" t="s">
        <v>64</v>
      </c>
      <c r="K19" s="6" t="s">
        <v>64</v>
      </c>
      <c r="L19" s="6" t="s">
        <v>64</v>
      </c>
      <c r="M19" s="6" t="s">
        <v>64</v>
      </c>
      <c r="N19" s="6" t="s">
        <v>64</v>
      </c>
      <c r="O19" s="6" t="s">
        <v>64</v>
      </c>
      <c r="P19" s="6" t="s">
        <v>64</v>
      </c>
      <c r="Q19" s="6" t="s">
        <v>64</v>
      </c>
      <c r="R19" s="6"/>
    </row>
    <row r="20" spans="1:18" ht="15">
      <c r="A20" s="2" t="s">
        <v>56</v>
      </c>
      <c r="B20" s="2" t="s">
        <v>57</v>
      </c>
      <c r="C20" s="2" t="s">
        <v>58</v>
      </c>
      <c r="D20" s="2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 t="s">
        <v>64</v>
      </c>
      <c r="R20" s="6"/>
    </row>
    <row r="21" spans="1:18" ht="15">
      <c r="A21" s="2" t="s">
        <v>60</v>
      </c>
      <c r="B21" s="2" t="s">
        <v>61</v>
      </c>
      <c r="C21" s="2" t="s">
        <v>58</v>
      </c>
      <c r="D21" s="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 t="s">
        <v>64</v>
      </c>
      <c r="R21" s="6"/>
    </row>
    <row r="23" spans="1:18">
      <c r="A23" s="11"/>
      <c r="B23" s="11"/>
      <c r="C23" s="11"/>
      <c r="D23" s="11"/>
    </row>
  </sheetData>
  <mergeCells count="3">
    <mergeCell ref="A1:S1"/>
    <mergeCell ref="A2:S2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Garcia</cp:lastModifiedBy>
  <dcterms:modified xsi:type="dcterms:W3CDTF">2026-08-14T14:58:53Z</dcterms:modified>
</cp:coreProperties>
</file>