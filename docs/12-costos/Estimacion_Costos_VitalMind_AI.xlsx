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Richi\VitalMind_AI\docs\12-costos\"/>
    </mc:Choice>
  </mc:AlternateContent>
  <xr:revisionPtr revIDLastSave="0" documentId="8_{A8F1A042-E10A-47A0-9B49-52D7D836E7D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stimación" sheetId="1" r:id="rId1"/>
    <sheet name="Costos" sheetId="2" r:id="rId2"/>
    <sheet name="Resumen" sheetId="3" r:id="rId3"/>
    <sheet name="Responsables" sheetId="4" r:id="rId4"/>
  </sheets>
  <calcPr calcId="181029"/>
  <fileRecoveryPr repairLoad="1"/>
</workbook>
</file>

<file path=xl/calcChain.xml><?xml version="1.0" encoding="utf-8"?>
<calcChain xmlns="http://schemas.openxmlformats.org/spreadsheetml/2006/main">
  <c r="B5" i="3" l="1"/>
  <c r="G5" i="2"/>
  <c r="F5" i="2"/>
  <c r="H101" i="1"/>
  <c r="H86" i="1"/>
  <c r="H71" i="1"/>
  <c r="H56" i="1"/>
  <c r="H42" i="1"/>
  <c r="H25" i="1"/>
  <c r="K22" i="1"/>
  <c r="K21" i="1"/>
  <c r="K20" i="1"/>
  <c r="K19" i="1"/>
  <c r="K18" i="1"/>
  <c r="K17" i="1"/>
  <c r="H12" i="1" a="1"/>
  <c r="H12" i="1"/>
  <c r="B12" i="3" l="1"/>
  <c r="C25" i="2"/>
  <c r="H103" i="1"/>
  <c r="K16" i="1"/>
  <c r="M17" i="1"/>
  <c r="L17" i="1"/>
  <c r="M18" i="1"/>
  <c r="L18" i="1"/>
  <c r="M19" i="1"/>
  <c r="L19" i="1"/>
  <c r="M20" i="1"/>
  <c r="L20" i="1"/>
  <c r="M21" i="1"/>
  <c r="L21" i="1"/>
  <c r="M22" i="1"/>
  <c r="L22" i="1"/>
  <c r="B13" i="3"/>
  <c r="C26" i="2"/>
  <c r="B14" i="3"/>
  <c r="C27" i="2"/>
  <c r="B15" i="3"/>
  <c r="C28" i="2"/>
  <c r="B16" i="3"/>
  <c r="C29" i="2"/>
  <c r="B17" i="3"/>
  <c r="C30" i="2"/>
  <c r="B18" i="3"/>
  <c r="C31" i="2"/>
  <c r="E31" i="2" l="1"/>
  <c r="D31" i="2"/>
  <c r="D18" i="3"/>
  <c r="E30" i="2"/>
  <c r="D30" i="2"/>
  <c r="D17" i="3"/>
  <c r="E29" i="2"/>
  <c r="D29" i="2"/>
  <c r="D16" i="3"/>
  <c r="E28" i="2"/>
  <c r="D28" i="2"/>
  <c r="D15" i="3"/>
  <c r="E27" i="2"/>
  <c r="D27" i="2"/>
  <c r="D14" i="3"/>
  <c r="E26" i="2"/>
  <c r="D26" i="2"/>
  <c r="D13" i="3"/>
  <c r="M16" i="1"/>
  <c r="L16" i="1"/>
  <c r="B4" i="3"/>
  <c r="G6" i="2"/>
  <c r="F6" i="2"/>
  <c r="E6" i="2"/>
  <c r="D6" i="2"/>
  <c r="C6" i="2"/>
  <c r="O8" i="1"/>
  <c r="O9" i="1" s="1"/>
  <c r="O10" i="1" s="1"/>
  <c r="O11" i="1" s="1"/>
  <c r="N8" i="1"/>
  <c r="N9" i="1" s="1"/>
  <c r="N10" i="1" s="1"/>
  <c r="N11" i="1" s="1"/>
  <c r="M8" i="1"/>
  <c r="M9" i="1" s="1"/>
  <c r="M10" i="1" s="1"/>
  <c r="M11" i="1" s="1"/>
  <c r="L8" i="1"/>
  <c r="L9" i="1" s="1"/>
  <c r="L10" i="1" s="1"/>
  <c r="L11" i="1" s="1"/>
  <c r="K8" i="1"/>
  <c r="K9" i="1" s="1"/>
  <c r="K10" i="1" s="1"/>
  <c r="K11" i="1" s="1"/>
  <c r="E25" i="2"/>
  <c r="D25" i="2"/>
  <c r="D12" i="3"/>
  <c r="C12" i="3"/>
  <c r="C10" i="2" l="1"/>
  <c r="C7" i="2"/>
  <c r="C8" i="2" s="1"/>
  <c r="D10" i="2"/>
  <c r="D7" i="2"/>
  <c r="D8" i="2" s="1"/>
  <c r="E10" i="2"/>
  <c r="E7" i="2"/>
  <c r="E8" i="2" s="1"/>
  <c r="F10" i="2"/>
  <c r="F7" i="2"/>
  <c r="F8" i="2" s="1"/>
  <c r="G10" i="2"/>
  <c r="G7" i="2"/>
  <c r="G8" i="2" s="1"/>
  <c r="B8" i="3"/>
  <c r="B7" i="3"/>
  <c r="B6" i="3"/>
  <c r="C18" i="3"/>
  <c r="C17" i="3"/>
  <c r="C16" i="3"/>
  <c r="C15" i="3"/>
  <c r="C14" i="3"/>
  <c r="C13" i="3"/>
  <c r="G13" i="2" l="1"/>
  <c r="G12" i="2"/>
  <c r="G9" i="2"/>
  <c r="G19" i="2"/>
  <c r="G18" i="2"/>
  <c r="G17" i="2"/>
  <c r="G16" i="2"/>
  <c r="G15" i="2"/>
  <c r="G14" i="2"/>
  <c r="G20" i="2" s="1"/>
  <c r="F13" i="2"/>
  <c r="F12" i="2"/>
  <c r="F9" i="2"/>
  <c r="F19" i="2"/>
  <c r="F18" i="2"/>
  <c r="F17" i="2"/>
  <c r="F16" i="2"/>
  <c r="F15" i="2"/>
  <c r="F14" i="2"/>
  <c r="F20" i="2" s="1"/>
  <c r="E13" i="2"/>
  <c r="E12" i="2"/>
  <c r="E9" i="2"/>
  <c r="E19" i="2"/>
  <c r="E18" i="2"/>
  <c r="E17" i="2"/>
  <c r="E16" i="2"/>
  <c r="E15" i="2"/>
  <c r="E14" i="2"/>
  <c r="E20" i="2" s="1"/>
  <c r="D13" i="2"/>
  <c r="D12" i="2"/>
  <c r="D9" i="2"/>
  <c r="D19" i="2"/>
  <c r="D18" i="2"/>
  <c r="D17" i="2"/>
  <c r="D16" i="2"/>
  <c r="D15" i="2"/>
  <c r="D14" i="2"/>
  <c r="D20" i="2" s="1"/>
  <c r="C13" i="2"/>
  <c r="C12" i="2"/>
  <c r="C9" i="2"/>
  <c r="C19" i="2"/>
  <c r="C18" i="2"/>
  <c r="C17" i="2"/>
  <c r="C16" i="2"/>
  <c r="C15" i="2"/>
  <c r="C14" i="2"/>
  <c r="C20" i="2" s="1"/>
</calcChain>
</file>

<file path=xl/sharedStrings.xml><?xml version="1.0" encoding="utf-8"?>
<sst xmlns="http://schemas.openxmlformats.org/spreadsheetml/2006/main" count="289" uniqueCount="199">
  <si>
    <t>Estimación de esfuerzos por módulos o componentes — VitalMind AI</t>
  </si>
  <si>
    <t>Escala de dificultad</t>
  </si>
  <si>
    <t>Simple</t>
  </si>
  <si>
    <t>Muy fácil</t>
  </si>
  <si>
    <t>Fácil</t>
  </si>
  <si>
    <t>Normal</t>
  </si>
  <si>
    <t>Difícil</t>
  </si>
  <si>
    <t>Muy difícil</t>
  </si>
  <si>
    <t>Horas</t>
  </si>
  <si>
    <t>&lt;Módulo&gt; ANÁLISIS Y DISEÑO</t>
  </si>
  <si>
    <t>Levantamiento y validación de requisitos funcionales</t>
  </si>
  <si>
    <t>Agenda y recursos</t>
  </si>
  <si>
    <t>Definición de arquitectura general del sistema</t>
  </si>
  <si>
    <t>Indicador</t>
  </si>
  <si>
    <t>1 recurso</t>
  </si>
  <si>
    <t>2 recursos</t>
  </si>
  <si>
    <t>3 recursos</t>
  </si>
  <si>
    <t>4 recursos</t>
  </si>
  <si>
    <t>5 recursos</t>
  </si>
  <si>
    <t>Diseño del flujo de integración Frontend–Backend–ML</t>
  </si>
  <si>
    <t>Horas por recurso</t>
  </si>
  <si>
    <t>Diseño del modelo entidad–relación</t>
  </si>
  <si>
    <t>Días hábiles</t>
  </si>
  <si>
    <t>Definición de contratos de API y estructuras JSON</t>
  </si>
  <si>
    <t>Semanas</t>
  </si>
  <si>
    <t>Diseño de prototipos y experiencia de usuario</t>
  </si>
  <si>
    <t>Meses</t>
  </si>
  <si>
    <t>Total ANÁLISIS Y DISEÑO</t>
  </si>
  <si>
    <t>&lt;Módulo&gt; DATOS, ETL Y DATASET</t>
  </si>
  <si>
    <t>Resumen por módulo</t>
  </si>
  <si>
    <t>Análisis de fuentes de datos y esquema MySQL</t>
  </si>
  <si>
    <t>Módulo</t>
  </si>
  <si>
    <t>% del total</t>
  </si>
  <si>
    <t>Semanas (1 recurso)</t>
  </si>
  <si>
    <t>Definición del diccionario de datos</t>
  </si>
  <si>
    <t>ANÁLISIS Y DISEÑO</t>
  </si>
  <si>
    <t>Definición de reglas de simulación</t>
  </si>
  <si>
    <t>DATOS, ETL Y DATASET</t>
  </si>
  <si>
    <t>Desarrollo del script generador de datos sintéticos</t>
  </si>
  <si>
    <t>MACHINE LEARNING</t>
  </si>
  <si>
    <t>Generación del dataset original</t>
  </si>
  <si>
    <t>MICROSERVICIO ML</t>
  </si>
  <si>
    <t>Validación de tipos, rangos y consistencia</t>
  </si>
  <si>
    <t>BACKEND Y BASE DE DATOS</t>
  </si>
  <si>
    <t>Limpieza y transformación del dataset</t>
  </si>
  <si>
    <t>FRONTEND</t>
  </si>
  <si>
    <t>División temporal en entrenamiento, validación y prueba</t>
  </si>
  <si>
    <t>PRUEBAS, DESPLIEGUE Y CIERRE</t>
  </si>
  <si>
    <t>Preparación de metadatos de imputación</t>
  </si>
  <si>
    <t>Documentación del proceso ETL</t>
  </si>
  <si>
    <t>Total DATOS, ETL Y DATASET</t>
  </si>
  <si>
    <t>&lt;Módulo&gt; MACHINE LEARNING</t>
  </si>
  <si>
    <t>Análisis exploratorio de datos (EDA)</t>
  </si>
  <si>
    <t>Selección de variables para clasificación de riesgo</t>
  </si>
  <si>
    <t>Entrenamiento de modelos de clasificación</t>
  </si>
  <si>
    <t>Ajuste de hiperparámetros del clasificador</t>
  </si>
  <si>
    <t>Evaluación final del clasificador de riesgo</t>
  </si>
  <si>
    <t>Selección de variables para regresión de bienestar</t>
  </si>
  <si>
    <t>Entrenamiento de modelos de regresión</t>
  </si>
  <si>
    <t>Ajuste de hiperparámetros del regresor</t>
  </si>
  <si>
    <t>Evaluación final del regresor de bienestar</t>
  </si>
  <si>
    <t>Segmentación de perfiles con K-Means</t>
  </si>
  <si>
    <t>Detección de anomalías con Isolation Forest</t>
  </si>
  <si>
    <t>Serialización y versionado de modelos</t>
  </si>
  <si>
    <t>Pruebas locales de inferencia</t>
  </si>
  <si>
    <t>Documentación de métricas, limitaciones y resultados</t>
  </si>
  <si>
    <t>Total MACHINE LEARNING</t>
  </si>
  <si>
    <t>&lt;Módulo&gt; MICROSERVICIO ML</t>
  </si>
  <si>
    <t>Configuración base de FastAPI</t>
  </si>
  <si>
    <t>Carga centralizada de modelos y metadatos</t>
  </si>
  <si>
    <t>Validación de esquemas de entrada con Pydantic</t>
  </si>
  <si>
    <t>Normalización de mood y cálculo de BMI</t>
  </si>
  <si>
    <t>Implementación de imputación controlada</t>
  </si>
  <si>
    <t>Endpoint GET /health</t>
  </si>
  <si>
    <t>Endpoint GET /api/v1/models/info</t>
  </si>
  <si>
    <t>Endpoint POST /api/v1/analyze</t>
  </si>
  <si>
    <t>Manejo personalizado de errores 422 y 500</t>
  </si>
  <si>
    <t>Pruebas automatizadas del microservicio</t>
  </si>
  <si>
    <t>Documentación Swagger y guía de integración</t>
  </si>
  <si>
    <t>Total MICROSERVICIO ML</t>
  </si>
  <si>
    <t>&lt;Módulo&gt; BACKEND Y BASE DE DATOS</t>
  </si>
  <si>
    <t>Implementación del esquema principal MySQL</t>
  </si>
  <si>
    <t>Creación de emotional_logs</t>
  </si>
  <si>
    <t>Adición de log_date e índices temporales</t>
  </si>
  <si>
    <t>Gestión de usuarios, autenticación y roles</t>
  </si>
  <si>
    <t>CRUD de hábitos diarios</t>
  </si>
  <si>
    <t>CRUD de síntomas físicos</t>
  </si>
  <si>
    <t>CRUD de registros emocionales</t>
  </si>
  <si>
    <t>Gestión de medicamentos y adherencia</t>
  </si>
  <si>
    <t>Consulta integrada de datos para ML</t>
  </si>
  <si>
    <t>Consumo REST del microservicio ML</t>
  </si>
  <si>
    <t>Persistencia de resultados de análisis</t>
  </si>
  <si>
    <t>Documentación de endpoints Backend</t>
  </si>
  <si>
    <t>Total BACKEND Y BASE DE DATOS</t>
  </si>
  <si>
    <t>&lt;Módulo&gt; FRONTEND</t>
  </si>
  <si>
    <t>Diseño e implementación de inicio de sesión</t>
  </si>
  <si>
    <t>Dashboard principal del usuario</t>
  </si>
  <si>
    <t>Formulario de hábitos diarios</t>
  </si>
  <si>
    <t>Formulario de síntomas físicos</t>
  </si>
  <si>
    <t>Formulario de estado emocional</t>
  </si>
  <si>
    <t>Módulo de medicamentos y recordatorios</t>
  </si>
  <si>
    <t>Vista de clasificación de riesgo</t>
  </si>
  <si>
    <t>Vista de puntaje de bienestar</t>
  </si>
  <si>
    <t>Visualización de historial y tendencias</t>
  </si>
  <si>
    <t>Manejo de estados de carga y errores</t>
  </si>
  <si>
    <t>Diseño responsivo y accesibilidad</t>
  </si>
  <si>
    <t>Integración completa con Backend</t>
  </si>
  <si>
    <t>Total FRONTEND</t>
  </si>
  <si>
    <t>&lt;Módulo&gt; PRUEBAS, DESPLIEGUE Y CIERRE</t>
  </si>
  <si>
    <t>Pruebas unitarias por módulo</t>
  </si>
  <si>
    <t>Pruebas de integración Backend–ML</t>
  </si>
  <si>
    <t>Pruebas de integración Frontend–Backend</t>
  </si>
  <si>
    <t>Pruebas end-to-end del flujo de análisis</t>
  </si>
  <si>
    <t>Corrección de errores encontrados</t>
  </si>
  <si>
    <t>Configuración de variables de entorno</t>
  </si>
  <si>
    <t>Preparación de despliegue del microservicio</t>
  </si>
  <si>
    <t>Preparación de despliegue Backend y Frontend</t>
  </si>
  <si>
    <t>Documentación técnica final</t>
  </si>
  <si>
    <t>Manual de usuario y evidencias</t>
  </si>
  <si>
    <t>Limpieza del repositorio y revisión de ramas</t>
  </si>
  <si>
    <t>Entrega y presentación final</t>
  </si>
  <si>
    <t>Total PRUEBAS, DESPLIEGUE Y CIERRE</t>
  </si>
  <si>
    <t>GRAN TOTAL DEL PROYECTO</t>
  </si>
  <si>
    <t>Estimación de costos — VitalMind AI</t>
  </si>
  <si>
    <t>Costo por hora (MXN)</t>
  </si>
  <si>
    <t>Costo y duración por número de recursos</t>
  </si>
  <si>
    <t>Tiempo / recursos</t>
  </si>
  <si>
    <t>Horas totales</t>
  </si>
  <si>
    <t>Semanas estimadas</t>
  </si>
  <si>
    <t>Meses estimados</t>
  </si>
  <si>
    <t>Costo total</t>
  </si>
  <si>
    <t>Desglose del costo del proyecto</t>
  </si>
  <si>
    <t>Concepto / recursos</t>
  </si>
  <si>
    <t>Desarrollo y datos (55%)</t>
  </si>
  <si>
    <t>Infraestructura y herramientas (15%)</t>
  </si>
  <si>
    <t>Pruebas y aseguramiento de calidad (10%)</t>
  </si>
  <si>
    <t>Gestión y documentación (10%)</t>
  </si>
  <si>
    <t>Contingencia (5%)</t>
  </si>
  <si>
    <t>Ganancia / reserva (5%)</t>
  </si>
  <si>
    <t>TOTAL</t>
  </si>
  <si>
    <t>Costo por módulo</t>
  </si>
  <si>
    <t>% esfuerzo</t>
  </si>
  <si>
    <t>Costo</t>
  </si>
  <si>
    <t>Resumen ejecutivo de estimación — VitalMind AI</t>
  </si>
  <si>
    <t>Valor</t>
  </si>
  <si>
    <t>Costo por hora</t>
  </si>
  <si>
    <t>Costo estimado</t>
  </si>
  <si>
    <t>Semanas con 1 recurso</t>
  </si>
  <si>
    <t>Semanas con 5 recursos</t>
  </si>
  <si>
    <t>Responsables y entregables — VitalMind AI</t>
  </si>
  <si>
    <t>Área / documento</t>
  </si>
  <si>
    <t>Responsable principal</t>
  </si>
  <si>
    <t>Colaboración</t>
  </si>
  <si>
    <t>Entregables</t>
  </si>
  <si>
    <t>Estado</t>
  </si>
  <si>
    <t>Observaciones</t>
  </si>
  <si>
    <t>data-sources.md</t>
  </si>
  <si>
    <t>Michelle</t>
  </si>
  <si>
    <t>Backend</t>
  </si>
  <si>
    <t>CSV original, CSV procesado y script generador</t>
  </si>
  <si>
    <t>Completado</t>
  </si>
  <si>
    <t>Dataset sintético usado por ML</t>
  </si>
  <si>
    <t>data-dictionary.md</t>
  </si>
  <si>
    <t>Diccionario de variables, tipos, unidades y rangos</t>
  </si>
  <si>
    <t>Debe mantenerse alineado con MySQL</t>
  </si>
  <si>
    <t>simulation-rules.md</t>
  </si>
  <si>
    <t>Equipo ML</t>
  </si>
  <si>
    <t>Reglas, configuración, script y dataset simulado</t>
  </si>
  <si>
    <t>Incluye anomalías y distribución de clases</t>
  </si>
  <si>
    <t>data-warehouse.md</t>
  </si>
  <si>
    <t>Carlos y Jennifer</t>
  </si>
  <si>
    <t>SQL, diagrama, tablas, relaciones e índices</t>
  </si>
  <si>
    <t>En progreso</t>
  </si>
  <si>
    <t>Crear emotional_logs y log_date</t>
  </si>
  <si>
    <t>etl-process.md</t>
  </si>
  <si>
    <t>Backend + Michelle</t>
  </si>
  <si>
    <t>Base de datos</t>
  </si>
  <si>
    <t>Scripts extract, transform, load y logs</t>
  </si>
  <si>
    <t>Backend extrae/carga; ML transforma y valida</t>
  </si>
  <si>
    <t>model-evaluation.md</t>
  </si>
  <si>
    <t>Notebooks, métricas, reportes y modelos</t>
  </si>
  <si>
    <t>Clasificación, regresión, clustering y anomalías</t>
  </si>
  <si>
    <t>api-contracts.md</t>
  </si>
  <si>
    <t>Frontend</t>
  </si>
  <si>
    <t>Swagger, rutas, ejemplos JSON y errores</t>
  </si>
  <si>
    <t>POST /api/v1/analyze</t>
  </si>
  <si>
    <t>testing.md</t>
  </si>
  <si>
    <t>Citlalli</t>
  </si>
  <si>
    <t>Todo el equipo</t>
  </si>
  <si>
    <t>Plan, casos, resultados y evidencias</t>
  </si>
  <si>
    <t>ML aporta 9 pruebas automatizadas</t>
  </si>
  <si>
    <t>Microservicio ML</t>
  </si>
  <si>
    <t>FastAPI, modelos, validación, BMI e imputación</t>
  </si>
  <si>
    <t>Pendiente prueba con Backend real</t>
  </si>
  <si>
    <t>Integración final</t>
  </si>
  <si>
    <t>Michelle + Frontend</t>
  </si>
  <si>
    <t>Consumo REST y persistencia de resultados</t>
  </si>
  <si>
    <t>Pendiente</t>
  </si>
  <si>
    <t>Depende de tablas emocionales y log_date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</si>
</sst>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.00"/>
    <numFmt numFmtId="165" formatCode="0.0%"/>
    <numFmt numFmtId="166" formatCode="\$\ #,##0.00"/>
  </numFmts>
  <fonts count="13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color theme="0"/>
      <name val="Calibri"/>
    </font>
    <font>
      <sz val="11"/>
      <name val="Calibri"/>
    </font>
    <font>
      <sz val="11"/>
      <color theme="0"/>
      <name val="Calibri"/>
    </font>
    <font>
      <sz val="11"/>
      <color theme="1"/>
      <name val="Calibri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6"/>
      <color rgb="FFFFFFFF"/>
      <name val="Calibri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5"/>
      </patternFill>
    </fill>
    <fill>
      <patternFill patternType="solid">
        <fgColor rgb="FFBDD6EE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3" fillId="2" borderId="2" xfId="0" applyFont="1" applyFill="1" applyBorder="1"/>
    <xf numFmtId="0" fontId="5" fillId="2" borderId="2" xfId="0" applyFont="1" applyFill="1" applyBorder="1"/>
    <xf numFmtId="0" fontId="7" fillId="2" borderId="2" xfId="0" applyFont="1" applyFill="1" applyBorder="1"/>
    <xf numFmtId="0" fontId="4" fillId="2" borderId="2" xfId="0" applyFont="1" applyFill="1" applyBorder="1"/>
    <xf numFmtId="0" fontId="1" fillId="3" borderId="2" xfId="0" applyFont="1" applyFill="1" applyBorder="1"/>
    <xf numFmtId="0" fontId="2" fillId="0" borderId="2" xfId="0" applyFont="1" applyBorder="1"/>
    <xf numFmtId="0" fontId="8" fillId="0" borderId="0" xfId="0" applyFont="1"/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" fillId="7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/>
    </xf>
    <xf numFmtId="0" fontId="1" fillId="8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/>
    </xf>
    <xf numFmtId="0" fontId="0" fillId="6" borderId="2" xfId="0" applyFill="1" applyBorder="1"/>
    <xf numFmtId="0" fontId="1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0" fillId="7" borderId="0" xfId="0" applyFill="1"/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2" fontId="0" fillId="6" borderId="0" xfId="0" applyNumberFormat="1" applyFill="1"/>
    <xf numFmtId="2" fontId="0" fillId="6" borderId="2" xfId="0" applyNumberFormat="1" applyFill="1" applyBorder="1"/>
    <xf numFmtId="165" fontId="0" fillId="7" borderId="0" xfId="0" applyNumberFormat="1" applyFill="1"/>
    <xf numFmtId="2" fontId="0" fillId="7" borderId="0" xfId="0" applyNumberFormat="1" applyFill="1"/>
    <xf numFmtId="0" fontId="3" fillId="5" borderId="1" xfId="0" applyFont="1" applyFill="1" applyBorder="1"/>
    <xf numFmtId="166" fontId="3" fillId="5" borderId="1" xfId="0" applyNumberFormat="1" applyFont="1" applyFill="1" applyBorder="1"/>
    <xf numFmtId="0" fontId="0" fillId="6" borderId="6" xfId="0" applyFill="1" applyBorder="1"/>
    <xf numFmtId="2" fontId="0" fillId="6" borderId="7" xfId="0" applyNumberFormat="1" applyFill="1" applyBorder="1"/>
    <xf numFmtId="166" fontId="0" fillId="6" borderId="8" xfId="0" applyNumberFormat="1" applyFill="1" applyBorder="1"/>
    <xf numFmtId="164" fontId="3" fillId="5" borderId="2" xfId="0" applyNumberFormat="1" applyFont="1" applyFill="1" applyBorder="1" applyAlignment="1">
      <alignment horizontal="center"/>
    </xf>
    <xf numFmtId="0" fontId="0" fillId="7" borderId="6" xfId="0" applyFill="1" applyBorder="1"/>
    <xf numFmtId="0" fontId="1" fillId="6" borderId="9" xfId="0" applyFont="1" applyFill="1" applyBorder="1"/>
    <xf numFmtId="166" fontId="0" fillId="7" borderId="2" xfId="0" applyNumberFormat="1" applyFill="1" applyBorder="1"/>
    <xf numFmtId="166" fontId="0" fillId="7" borderId="0" xfId="0" applyNumberFormat="1" applyFill="1"/>
    <xf numFmtId="166" fontId="0" fillId="7" borderId="7" xfId="0" applyNumberFormat="1" applyFill="1" applyBorder="1"/>
    <xf numFmtId="166" fontId="1" fillId="6" borderId="10" xfId="0" applyNumberFormat="1" applyFont="1" applyFill="1" applyBorder="1"/>
    <xf numFmtId="166" fontId="1" fillId="6" borderId="8" xfId="0" applyNumberFormat="1" applyFont="1" applyFill="1" applyBorder="1"/>
    <xf numFmtId="166" fontId="0" fillId="6" borderId="0" xfId="0" applyNumberFormat="1" applyFill="1"/>
    <xf numFmtId="1" fontId="0" fillId="6" borderId="0" xfId="0" applyNumberFormat="1" applyFill="1"/>
    <xf numFmtId="0" fontId="0" fillId="7" borderId="0" xfId="0" applyFill="1" applyAlignment="1">
      <alignment vertical="top" wrapText="1"/>
    </xf>
    <xf numFmtId="0" fontId="9" fillId="4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/>
    </xf>
    <xf numFmtId="2" fontId="0" fillId="6" borderId="0" xfId="0" applyNumberFormat="1" applyFill="1"/>
    <xf numFmtId="0" fontId="5" fillId="7" borderId="3" xfId="0" applyFont="1" applyFill="1" applyBorder="1" applyAlignment="1">
      <alignment horizontal="center"/>
    </xf>
    <xf numFmtId="2" fontId="6" fillId="7" borderId="4" xfId="0" applyNumberFormat="1" applyFont="1" applyFill="1" applyBorder="1"/>
    <xf numFmtId="0" fontId="6" fillId="0" borderId="5" xfId="0" applyFont="1" applyBorder="1"/>
    <xf numFmtId="0" fontId="1" fillId="6" borderId="2" xfId="0" applyFont="1" applyFill="1" applyBorder="1"/>
    <xf numFmtId="0" fontId="1" fillId="6" borderId="0" xfId="0" applyFont="1" applyFill="1"/>
    <xf numFmtId="0" fontId="10" fillId="4" borderId="0" xfId="0" applyFont="1" applyFill="1"/>
    <xf numFmtId="0" fontId="3" fillId="4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4" xfId="0" applyFont="1" applyBorder="1"/>
    <xf numFmtId="0" fontId="1" fillId="6" borderId="3" xfId="0" applyFont="1" applyFill="1" applyBorder="1" applyAlignment="1">
      <alignment horizontal="center"/>
    </xf>
    <xf numFmtId="166" fontId="6" fillId="6" borderId="4" xfId="0" applyNumberFormat="1" applyFont="1" applyFill="1" applyBorder="1"/>
    <xf numFmtId="166" fontId="6" fillId="6" borderId="5" xfId="0" applyNumberFormat="1" applyFont="1" applyFill="1" applyBorder="1"/>
    <xf numFmtId="0" fontId="9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2" fillId="6" borderId="2" xfId="0" applyFont="1" applyFill="1" applyBorder="1"/>
    <xf numFmtId="2" fontId="12" fillId="6" borderId="2" xfId="0" applyNumberFormat="1" applyFont="1" applyFill="1" applyBorder="1"/>
    <xf numFmtId="0" fontId="12" fillId="6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color rgb="FF843C0C"/>
      </font>
      <fill>
        <patternFill patternType="solid">
          <bgColor rgb="FFF4B084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Horas estimadas por módulo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Horas</c:v>
          </c:tx>
          <c:invertIfNegative val="1"/>
          <c:cat>
            <c:strRef>
              <c:f>Resumen!$A$12:$A$18</c:f>
              <c:strCache>
                <c:ptCount val="7"/>
                <c:pt idx="0">
                  <c:v>ANÁLISIS Y DISEÑO</c:v>
                </c:pt>
                <c:pt idx="1">
                  <c:v>DATOS, ETL Y DATASET</c:v>
                </c:pt>
                <c:pt idx="2">
                  <c:v>MACHINE LEARNING</c:v>
                </c:pt>
                <c:pt idx="3">
                  <c:v>MICROSERVICIO ML</c:v>
                </c:pt>
                <c:pt idx="4">
                  <c:v>BACKEND Y BASE DE DATOS</c:v>
                </c:pt>
                <c:pt idx="5">
                  <c:v>FRONTEND</c:v>
                </c:pt>
                <c:pt idx="6">
                  <c:v>PRUEBAS, DESPLIEGUE Y CIERRE</c:v>
                </c:pt>
              </c:strCache>
            </c:strRef>
          </c:cat>
          <c:val>
            <c:numRef>
              <c:f>Resumen!$B$12:$B$18</c:f>
              <c:numCache>
                <c:formatCode>General</c:formatCode>
                <c:ptCount val="7"/>
                <c:pt idx="0">
                  <c:v>160</c:v>
                </c:pt>
                <c:pt idx="1">
                  <c:v>248</c:v>
                </c:pt>
                <c:pt idx="2">
                  <c:v>400</c:v>
                </c:pt>
                <c:pt idx="3">
                  <c:v>296</c:v>
                </c:pt>
                <c:pt idx="4">
                  <c:v>368</c:v>
                </c:pt>
                <c:pt idx="5">
                  <c:v>360</c:v>
                </c:pt>
                <c:pt idx="6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5-45FC-9A13-5801C88C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ponsablesTable" displayName="ResponsablesTable" ref="A3:F13">
  <tableColumns count="6">
    <tableColumn id="1" xr3:uid="{00000000-0010-0000-0000-000001000000}" name="Área / documento"/>
    <tableColumn id="2" xr3:uid="{00000000-0010-0000-0000-000002000000}" name="Responsable principal"/>
    <tableColumn id="3" xr3:uid="{00000000-0010-0000-0000-000003000000}" name="Colaboración"/>
    <tableColumn id="4" xr3:uid="{00000000-0010-0000-0000-000004000000}" name="Entregables"/>
    <tableColumn id="5" xr3:uid="{00000000-0010-0000-0000-000005000000}" name="Estado"/>
    <tableColumn id="6" xr3:uid="{00000000-0010-0000-0000-000006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7"/>
  <sheetViews>
    <sheetView workbookViewId="0">
      <selection activeCell="J3" sqref="J3:P3"/>
    </sheetView>
  </sheetViews>
  <sheetFormatPr baseColWidth="10" defaultColWidth="14.42578125" defaultRowHeight="15"/>
  <cols>
    <col min="1" max="1" width="58" customWidth="1"/>
    <col min="2" max="8" width="11" customWidth="1"/>
    <col min="9" max="9" width="10.7109375" customWidth="1"/>
    <col min="10" max="10" width="25" customWidth="1"/>
    <col min="11" max="15" width="14" customWidth="1"/>
    <col min="16" max="26" width="10.7109375" customWidth="1"/>
  </cols>
  <sheetData>
    <row r="1" spans="1:16" ht="27.95" customHeight="1">
      <c r="A1" s="53" t="s">
        <v>0</v>
      </c>
      <c r="B1" s="53"/>
      <c r="C1" s="53"/>
      <c r="D1" s="53"/>
      <c r="E1" s="53"/>
      <c r="F1" s="53"/>
      <c r="G1" s="53"/>
      <c r="H1" s="53"/>
      <c r="I1" s="1"/>
    </row>
    <row r="2" spans="1:16" ht="14.25" customHeight="1">
      <c r="A2" s="54"/>
      <c r="B2" s="54"/>
      <c r="C2" s="54"/>
      <c r="D2" s="54"/>
      <c r="E2" s="54"/>
      <c r="F2" s="54"/>
      <c r="G2" s="54"/>
      <c r="H2" s="54"/>
      <c r="I2" s="1"/>
      <c r="J2" s="9" t="s">
        <v>1</v>
      </c>
      <c r="K2" s="9" t="s">
        <v>2</v>
      </c>
      <c r="L2" s="9" t="s">
        <v>3</v>
      </c>
      <c r="M2" s="9" t="s">
        <v>4</v>
      </c>
      <c r="N2" s="9" t="s">
        <v>5</v>
      </c>
      <c r="O2" s="9" t="s">
        <v>6</v>
      </c>
      <c r="P2" s="9" t="s">
        <v>7</v>
      </c>
    </row>
    <row r="3" spans="1:16" ht="14.25" customHeight="1">
      <c r="A3" s="2"/>
      <c r="B3" s="3"/>
      <c r="C3" s="3"/>
      <c r="D3" s="3"/>
      <c r="E3" s="3"/>
      <c r="F3" s="3"/>
      <c r="G3" s="3"/>
      <c r="H3" s="3"/>
      <c r="J3" s="75" t="s">
        <v>8</v>
      </c>
      <c r="K3" s="75">
        <v>4</v>
      </c>
      <c r="L3" s="75">
        <v>8</v>
      </c>
      <c r="M3" s="75">
        <v>16</v>
      </c>
      <c r="N3" s="75">
        <v>24</v>
      </c>
      <c r="O3" s="75">
        <v>32</v>
      </c>
      <c r="P3" s="75">
        <v>40</v>
      </c>
    </row>
    <row r="4" spans="1:16" ht="14.25" customHeight="1">
      <c r="A4" s="6"/>
      <c r="B4" s="7"/>
      <c r="C4" s="7"/>
      <c r="D4" s="7"/>
      <c r="E4" s="7"/>
      <c r="F4" s="7"/>
      <c r="G4" s="7"/>
      <c r="H4" s="7"/>
      <c r="J4" s="7"/>
      <c r="K4" s="7"/>
      <c r="L4" s="7"/>
      <c r="M4" s="7"/>
      <c r="N4" s="7"/>
      <c r="O4" s="7"/>
      <c r="P4" s="7"/>
    </row>
    <row r="5" spans="1:16" ht="14.25" customHeight="1">
      <c r="A5" s="12" t="s">
        <v>9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</row>
    <row r="6" spans="1:16" ht="14.25" customHeight="1">
      <c r="A6" s="14" t="s">
        <v>10</v>
      </c>
      <c r="B6" s="15"/>
      <c r="C6" s="15"/>
      <c r="D6" s="15"/>
      <c r="E6" s="15">
        <v>1</v>
      </c>
      <c r="F6" s="15"/>
      <c r="G6" s="15"/>
      <c r="H6" s="15">
        <v>24</v>
      </c>
      <c r="J6" s="63" t="s">
        <v>11</v>
      </c>
      <c r="K6" s="63"/>
      <c r="L6" s="63"/>
      <c r="M6" s="63"/>
      <c r="N6" s="63"/>
      <c r="O6" s="63"/>
    </row>
    <row r="7" spans="1:16" ht="14.25" customHeight="1">
      <c r="A7" s="16" t="s">
        <v>12</v>
      </c>
      <c r="B7" s="17"/>
      <c r="C7" s="17"/>
      <c r="D7" s="17"/>
      <c r="E7" s="17"/>
      <c r="F7" s="17">
        <v>1</v>
      </c>
      <c r="G7" s="17"/>
      <c r="H7" s="17">
        <v>32</v>
      </c>
      <c r="J7" s="9" t="s">
        <v>13</v>
      </c>
      <c r="K7" s="9" t="s">
        <v>14</v>
      </c>
      <c r="L7" s="9" t="s">
        <v>15</v>
      </c>
      <c r="M7" s="9" t="s">
        <v>16</v>
      </c>
      <c r="N7" s="9" t="s">
        <v>17</v>
      </c>
      <c r="O7" s="9" t="s">
        <v>18</v>
      </c>
    </row>
    <row r="8" spans="1:16" ht="14.25" customHeight="1">
      <c r="A8" s="14" t="s">
        <v>19</v>
      </c>
      <c r="B8" s="15"/>
      <c r="C8" s="15"/>
      <c r="D8" s="15"/>
      <c r="E8" s="15"/>
      <c r="F8" s="15">
        <v>1</v>
      </c>
      <c r="G8" s="15"/>
      <c r="H8" s="15">
        <v>32</v>
      </c>
      <c r="J8" s="30" t="s">
        <v>20</v>
      </c>
      <c r="K8" s="33">
        <f>$H$103/1</f>
        <v>2192</v>
      </c>
      <c r="L8" s="33">
        <f>$H$103/2</f>
        <v>1096</v>
      </c>
      <c r="M8" s="33">
        <f>$H$103/3</f>
        <v>730.66666666666663</v>
      </c>
      <c r="N8" s="33">
        <f>$H$103/4</f>
        <v>548</v>
      </c>
      <c r="O8" s="33">
        <f>$H$103/5</f>
        <v>438.4</v>
      </c>
    </row>
    <row r="9" spans="1:16" ht="14.25" customHeight="1">
      <c r="A9" s="16" t="s">
        <v>21</v>
      </c>
      <c r="B9" s="17"/>
      <c r="C9" s="17"/>
      <c r="D9" s="17"/>
      <c r="E9" s="17">
        <v>1</v>
      </c>
      <c r="F9" s="17"/>
      <c r="G9" s="17"/>
      <c r="H9" s="17">
        <v>24</v>
      </c>
      <c r="J9" s="55" t="s">
        <v>22</v>
      </c>
      <c r="K9" s="56">
        <f>K8/8</f>
        <v>274</v>
      </c>
      <c r="L9" s="56">
        <f>L8/8</f>
        <v>137</v>
      </c>
      <c r="M9" s="56">
        <f>M8/8</f>
        <v>91.333333333333329</v>
      </c>
      <c r="N9" s="33">
        <f>N8/8</f>
        <v>68.5</v>
      </c>
      <c r="O9" s="33">
        <f>O8/8</f>
        <v>54.8</v>
      </c>
    </row>
    <row r="10" spans="1:16" ht="14.25" customHeight="1">
      <c r="A10" s="14" t="s">
        <v>23</v>
      </c>
      <c r="B10" s="15"/>
      <c r="C10" s="15"/>
      <c r="D10" s="15"/>
      <c r="E10" s="15">
        <v>1</v>
      </c>
      <c r="F10" s="15"/>
      <c r="G10" s="15"/>
      <c r="H10" s="15">
        <v>24</v>
      </c>
      <c r="J10" s="73" t="s">
        <v>24</v>
      </c>
      <c r="K10" s="74">
        <f>K9/5</f>
        <v>54.8</v>
      </c>
      <c r="L10" s="74">
        <f>L9/5</f>
        <v>27.4</v>
      </c>
      <c r="M10" s="74">
        <f>M9/5</f>
        <v>18.266666666666666</v>
      </c>
      <c r="N10" s="33">
        <f>N9/5</f>
        <v>13.7</v>
      </c>
      <c r="O10" s="33">
        <f>O9/5</f>
        <v>10.959999999999999</v>
      </c>
    </row>
    <row r="11" spans="1:16" ht="14.25" customHeight="1">
      <c r="A11" s="16" t="s">
        <v>25</v>
      </c>
      <c r="B11" s="17"/>
      <c r="C11" s="17"/>
      <c r="D11" s="17"/>
      <c r="E11" s="17">
        <v>1</v>
      </c>
      <c r="F11" s="17"/>
      <c r="G11" s="17"/>
      <c r="H11" s="17">
        <v>24</v>
      </c>
      <c r="J11" s="18" t="s">
        <v>26</v>
      </c>
      <c r="K11" s="34">
        <f>K10/4</f>
        <v>13.7</v>
      </c>
      <c r="L11" s="34">
        <f>L10/4</f>
        <v>6.85</v>
      </c>
      <c r="M11" s="34">
        <f>M10/4</f>
        <v>4.5666666666666664</v>
      </c>
      <c r="N11" s="33">
        <f>N10/4</f>
        <v>3.4249999999999998</v>
      </c>
      <c r="O11" s="33">
        <f>O10/4</f>
        <v>2.7399999999999998</v>
      </c>
    </row>
    <row r="12" spans="1:16" ht="14.25" customHeight="1">
      <c r="A12" s="60" t="s">
        <v>27</v>
      </c>
      <c r="B12" s="60"/>
      <c r="C12" s="60"/>
      <c r="D12" s="60"/>
      <c r="E12" s="60"/>
      <c r="F12" s="60"/>
      <c r="G12" s="60"/>
      <c r="H12" s="19">
        <f t="array" ref="H12">SUM(H6:H11)</f>
        <v>160</v>
      </c>
      <c r="J12" s="1"/>
      <c r="K12" s="1"/>
      <c r="L12" s="1"/>
      <c r="M12" s="1"/>
    </row>
    <row r="13" spans="1:16" ht="14.25" customHeight="1">
      <c r="A13" s="6"/>
      <c r="B13" s="7"/>
      <c r="C13" s="7"/>
      <c r="D13" s="7"/>
      <c r="E13" s="7"/>
      <c r="F13" s="7"/>
      <c r="G13" s="7"/>
      <c r="H13" s="7"/>
      <c r="J13" s="1"/>
      <c r="K13" s="1"/>
      <c r="L13" s="1"/>
      <c r="M13" s="1"/>
    </row>
    <row r="14" spans="1:16" ht="14.25" customHeight="1">
      <c r="A14" s="12" t="s">
        <v>28</v>
      </c>
      <c r="B14" s="11" t="s">
        <v>2</v>
      </c>
      <c r="C14" s="11" t="s">
        <v>3</v>
      </c>
      <c r="D14" s="11" t="s">
        <v>4</v>
      </c>
      <c r="E14" s="11" t="s">
        <v>5</v>
      </c>
      <c r="F14" s="11" t="s">
        <v>6</v>
      </c>
      <c r="G14" s="11" t="s">
        <v>7</v>
      </c>
      <c r="H14" s="11" t="s">
        <v>8</v>
      </c>
      <c r="J14" s="63" t="s">
        <v>29</v>
      </c>
      <c r="K14" s="63"/>
      <c r="L14" s="63"/>
      <c r="M14" s="63"/>
    </row>
    <row r="15" spans="1:16" ht="14.25" customHeight="1">
      <c r="A15" s="14" t="s">
        <v>30</v>
      </c>
      <c r="B15" s="15"/>
      <c r="C15" s="15"/>
      <c r="D15" s="15"/>
      <c r="E15" s="15">
        <v>1</v>
      </c>
      <c r="F15" s="15"/>
      <c r="G15" s="15"/>
      <c r="H15" s="15">
        <v>24</v>
      </c>
      <c r="J15" s="9" t="s">
        <v>31</v>
      </c>
      <c r="K15" s="9" t="s">
        <v>8</v>
      </c>
      <c r="L15" s="9" t="s">
        <v>32</v>
      </c>
      <c r="M15" s="9" t="s">
        <v>33</v>
      </c>
    </row>
    <row r="16" spans="1:16" ht="14.25" customHeight="1">
      <c r="A16" s="16" t="s">
        <v>34</v>
      </c>
      <c r="B16" s="17"/>
      <c r="C16" s="17"/>
      <c r="D16" s="17"/>
      <c r="E16" s="17">
        <v>1</v>
      </c>
      <c r="F16" s="17"/>
      <c r="G16" s="17"/>
      <c r="H16" s="17">
        <v>24</v>
      </c>
      <c r="J16" s="24" t="s">
        <v>35</v>
      </c>
      <c r="K16" s="36">
        <f>H12</f>
        <v>160</v>
      </c>
      <c r="L16" s="36">
        <f t="shared" ref="L16:L22" si="0">K16/$H$103</f>
        <v>7.2992700729927001E-2</v>
      </c>
      <c r="M16" s="36">
        <f t="shared" ref="M16:M22" si="1">K16/40</f>
        <v>4</v>
      </c>
    </row>
    <row r="17" spans="1:15" ht="14.25" customHeight="1">
      <c r="A17" s="14" t="s">
        <v>36</v>
      </c>
      <c r="B17" s="15"/>
      <c r="C17" s="15"/>
      <c r="D17" s="15"/>
      <c r="E17" s="15">
        <v>1</v>
      </c>
      <c r="F17" s="15"/>
      <c r="G17" s="15"/>
      <c r="H17" s="15">
        <v>24</v>
      </c>
      <c r="J17" s="24" t="s">
        <v>37</v>
      </c>
      <c r="K17" s="36">
        <f>H25</f>
        <v>248</v>
      </c>
      <c r="L17" s="36">
        <f t="shared" si="0"/>
        <v>0.11313868613138686</v>
      </c>
      <c r="M17" s="36">
        <f t="shared" si="1"/>
        <v>6.2</v>
      </c>
    </row>
    <row r="18" spans="1:15" ht="14.25" customHeight="1">
      <c r="A18" s="16" t="s">
        <v>38</v>
      </c>
      <c r="B18" s="17"/>
      <c r="C18" s="17"/>
      <c r="D18" s="17"/>
      <c r="E18" s="17"/>
      <c r="F18" s="17">
        <v>1</v>
      </c>
      <c r="G18" s="17"/>
      <c r="H18" s="17">
        <v>32</v>
      </c>
      <c r="J18" s="24" t="s">
        <v>39</v>
      </c>
      <c r="K18" s="36">
        <f>H42</f>
        <v>400</v>
      </c>
      <c r="L18" s="36">
        <f t="shared" si="0"/>
        <v>0.18248175182481752</v>
      </c>
      <c r="M18" s="36">
        <f t="shared" si="1"/>
        <v>10</v>
      </c>
    </row>
    <row r="19" spans="1:15" ht="14.25" customHeight="1">
      <c r="A19" s="20" t="s">
        <v>40</v>
      </c>
      <c r="B19" s="21"/>
      <c r="C19" s="21"/>
      <c r="D19" s="21">
        <v>1</v>
      </c>
      <c r="E19" s="21"/>
      <c r="F19" s="21"/>
      <c r="G19" s="21"/>
      <c r="H19" s="21">
        <v>16</v>
      </c>
      <c r="J19" s="24" t="s">
        <v>41</v>
      </c>
      <c r="K19" s="36">
        <f>H56</f>
        <v>296</v>
      </c>
      <c r="L19" s="36">
        <f t="shared" si="0"/>
        <v>0.13503649635036497</v>
      </c>
      <c r="M19" s="36">
        <f t="shared" si="1"/>
        <v>7.4</v>
      </c>
    </row>
    <row r="20" spans="1:15" ht="14.25" customHeight="1">
      <c r="A20" s="16" t="s">
        <v>42</v>
      </c>
      <c r="B20" s="17"/>
      <c r="C20" s="17"/>
      <c r="D20" s="17"/>
      <c r="E20" s="17">
        <v>1</v>
      </c>
      <c r="F20" s="17"/>
      <c r="G20" s="17"/>
      <c r="H20" s="17">
        <v>24</v>
      </c>
      <c r="J20" s="24" t="s">
        <v>43</v>
      </c>
      <c r="K20" s="36">
        <f>H71</f>
        <v>368</v>
      </c>
      <c r="L20" s="36">
        <f t="shared" si="0"/>
        <v>0.16788321167883211</v>
      </c>
      <c r="M20" s="36">
        <f t="shared" si="1"/>
        <v>9.1999999999999993</v>
      </c>
    </row>
    <row r="21" spans="1:15" ht="14.25" customHeight="1">
      <c r="A21" s="14" t="s">
        <v>44</v>
      </c>
      <c r="B21" s="15"/>
      <c r="C21" s="15"/>
      <c r="D21" s="15"/>
      <c r="E21" s="15"/>
      <c r="F21" s="15">
        <v>1</v>
      </c>
      <c r="G21" s="15"/>
      <c r="H21" s="15">
        <v>32</v>
      </c>
      <c r="J21" s="24" t="s">
        <v>45</v>
      </c>
      <c r="K21" s="36">
        <f>H86</f>
        <v>360</v>
      </c>
      <c r="L21" s="36">
        <f t="shared" si="0"/>
        <v>0.16423357664233576</v>
      </c>
      <c r="M21" s="36">
        <f t="shared" si="1"/>
        <v>9</v>
      </c>
    </row>
    <row r="22" spans="1:15" ht="14.25" customHeight="1">
      <c r="A22" s="16" t="s">
        <v>46</v>
      </c>
      <c r="B22" s="17"/>
      <c r="C22" s="17"/>
      <c r="D22" s="17"/>
      <c r="E22" s="17">
        <v>1</v>
      </c>
      <c r="F22" s="17"/>
      <c r="G22" s="17"/>
      <c r="H22" s="17">
        <v>24</v>
      </c>
      <c r="J22" s="57" t="s">
        <v>47</v>
      </c>
      <c r="K22" s="58">
        <f>H101</f>
        <v>360</v>
      </c>
      <c r="L22" s="58">
        <f t="shared" si="0"/>
        <v>0.16423357664233576</v>
      </c>
      <c r="M22" s="58">
        <f t="shared" si="1"/>
        <v>9</v>
      </c>
      <c r="N22" s="59"/>
    </row>
    <row r="23" spans="1:15" ht="14.25" customHeight="1">
      <c r="A23" s="14" t="s">
        <v>48</v>
      </c>
      <c r="B23" s="15"/>
      <c r="C23" s="15"/>
      <c r="D23" s="15"/>
      <c r="E23" s="15">
        <v>1</v>
      </c>
      <c r="F23" s="15"/>
      <c r="G23" s="15"/>
      <c r="H23" s="15">
        <v>24</v>
      </c>
      <c r="J23" s="3"/>
      <c r="K23" s="3"/>
      <c r="L23" s="3"/>
      <c r="M23" s="3"/>
      <c r="N23" s="3"/>
      <c r="O23" s="3"/>
    </row>
    <row r="24" spans="1:15" ht="14.25" customHeight="1">
      <c r="A24" s="16" t="s">
        <v>49</v>
      </c>
      <c r="B24" s="17"/>
      <c r="C24" s="17"/>
      <c r="D24" s="17"/>
      <c r="E24" s="17">
        <v>1</v>
      </c>
      <c r="F24" s="17"/>
      <c r="G24" s="17"/>
      <c r="H24" s="17">
        <v>24</v>
      </c>
      <c r="J24" s="7"/>
      <c r="K24" s="7"/>
      <c r="L24" s="7"/>
      <c r="M24" s="7"/>
      <c r="N24" s="7"/>
      <c r="O24" s="7"/>
    </row>
    <row r="25" spans="1:15" ht="14.25" customHeight="1">
      <c r="A25" s="60" t="s">
        <v>50</v>
      </c>
      <c r="B25" s="60"/>
      <c r="C25" s="60"/>
      <c r="D25" s="60"/>
      <c r="E25" s="60"/>
      <c r="F25" s="60"/>
      <c r="G25" s="60"/>
      <c r="H25" s="19">
        <f>SUM(H15:H24)</f>
        <v>248</v>
      </c>
      <c r="J25" s="7"/>
      <c r="K25" s="7"/>
      <c r="L25" s="7"/>
      <c r="M25" s="7"/>
      <c r="N25" s="7"/>
      <c r="O25" s="7"/>
    </row>
    <row r="26" spans="1:15" ht="14.25" customHeight="1">
      <c r="J26" s="7"/>
      <c r="K26" s="7"/>
      <c r="L26" s="7"/>
      <c r="M26" s="7"/>
      <c r="N26" s="7"/>
      <c r="O26" s="7"/>
    </row>
    <row r="27" spans="1:15" ht="14.25" customHeight="1">
      <c r="A27" s="23" t="s">
        <v>51</v>
      </c>
      <c r="B27" s="22" t="s">
        <v>2</v>
      </c>
      <c r="C27" s="22" t="s">
        <v>3</v>
      </c>
      <c r="D27" s="22" t="s">
        <v>4</v>
      </c>
      <c r="E27" s="22" t="s">
        <v>5</v>
      </c>
      <c r="F27" s="22" t="s">
        <v>6</v>
      </c>
      <c r="G27" s="22" t="s">
        <v>7</v>
      </c>
      <c r="H27" s="22" t="s">
        <v>8</v>
      </c>
    </row>
    <row r="28" spans="1:15" ht="14.25" customHeight="1">
      <c r="A28" s="25" t="s">
        <v>52</v>
      </c>
      <c r="B28" s="26"/>
      <c r="C28" s="26"/>
      <c r="D28" s="26"/>
      <c r="E28" s="26"/>
      <c r="F28" s="26">
        <v>1</v>
      </c>
      <c r="G28" s="26"/>
      <c r="H28" s="26">
        <v>32</v>
      </c>
    </row>
    <row r="29" spans="1:15" ht="14.25" customHeight="1">
      <c r="A29" s="16" t="s">
        <v>53</v>
      </c>
      <c r="B29" s="17"/>
      <c r="C29" s="17"/>
      <c r="D29" s="17"/>
      <c r="E29" s="17">
        <v>1</v>
      </c>
      <c r="F29" s="17"/>
      <c r="G29" s="17"/>
      <c r="H29" s="17">
        <v>24</v>
      </c>
    </row>
    <row r="30" spans="1:15" ht="14.25" customHeight="1">
      <c r="A30" s="25" t="s">
        <v>54</v>
      </c>
      <c r="B30" s="27"/>
      <c r="C30" s="26"/>
      <c r="D30" s="26"/>
      <c r="E30" s="26"/>
      <c r="F30" s="26">
        <v>1</v>
      </c>
      <c r="G30" s="26"/>
      <c r="H30" s="26">
        <v>32</v>
      </c>
    </row>
    <row r="31" spans="1:15" ht="14.25" customHeight="1">
      <c r="A31" s="28" t="s">
        <v>55</v>
      </c>
      <c r="B31" s="29"/>
      <c r="C31" s="29"/>
      <c r="D31" s="29"/>
      <c r="E31" s="29"/>
      <c r="F31" s="29">
        <v>1</v>
      </c>
      <c r="G31" s="29"/>
      <c r="H31" s="29">
        <v>32</v>
      </c>
    </row>
    <row r="32" spans="1:15" ht="14.25" customHeight="1">
      <c r="A32" s="25" t="s">
        <v>56</v>
      </c>
      <c r="B32" s="26"/>
      <c r="C32" s="26"/>
      <c r="D32" s="26"/>
      <c r="E32" s="26">
        <v>1</v>
      </c>
      <c r="F32" s="26"/>
      <c r="G32" s="26"/>
      <c r="H32" s="26">
        <v>24</v>
      </c>
    </row>
    <row r="33" spans="1:8" ht="14.25" customHeight="1">
      <c r="A33" s="28" t="s">
        <v>57</v>
      </c>
      <c r="B33" s="29"/>
      <c r="C33" s="29"/>
      <c r="D33" s="29"/>
      <c r="E33" s="29">
        <v>1</v>
      </c>
      <c r="F33" s="29"/>
      <c r="G33" s="29"/>
      <c r="H33" s="29">
        <v>24</v>
      </c>
    </row>
    <row r="34" spans="1:8" ht="14.25" customHeight="1">
      <c r="A34" s="25" t="s">
        <v>58</v>
      </c>
      <c r="B34" s="26"/>
      <c r="C34" s="26"/>
      <c r="D34" s="26"/>
      <c r="E34" s="26"/>
      <c r="F34" s="26">
        <v>1</v>
      </c>
      <c r="G34" s="26"/>
      <c r="H34" s="26">
        <v>32</v>
      </c>
    </row>
    <row r="35" spans="1:8" ht="14.25" customHeight="1">
      <c r="A35" s="28" t="s">
        <v>59</v>
      </c>
      <c r="B35" s="29"/>
      <c r="C35" s="29"/>
      <c r="D35" s="29"/>
      <c r="E35" s="29"/>
      <c r="F35" s="29">
        <v>1</v>
      </c>
      <c r="G35" s="29"/>
      <c r="H35" s="29">
        <v>32</v>
      </c>
    </row>
    <row r="36" spans="1:8" ht="14.25" customHeight="1">
      <c r="A36" s="25" t="s">
        <v>60</v>
      </c>
      <c r="B36" s="26"/>
      <c r="C36" s="26"/>
      <c r="D36" s="26"/>
      <c r="E36" s="26">
        <v>1</v>
      </c>
      <c r="F36" s="26"/>
      <c r="G36" s="26"/>
      <c r="H36" s="26">
        <v>24</v>
      </c>
    </row>
    <row r="37" spans="1:8" ht="14.25" customHeight="1">
      <c r="A37" s="28" t="s">
        <v>61</v>
      </c>
      <c r="B37" s="29"/>
      <c r="C37" s="29"/>
      <c r="D37" s="29"/>
      <c r="E37" s="29"/>
      <c r="F37" s="29">
        <v>1</v>
      </c>
      <c r="G37" s="29"/>
      <c r="H37" s="29">
        <v>32</v>
      </c>
    </row>
    <row r="38" spans="1:8" ht="14.25" customHeight="1">
      <c r="A38" s="25" t="s">
        <v>62</v>
      </c>
      <c r="B38" s="26"/>
      <c r="C38" s="26"/>
      <c r="D38" s="26"/>
      <c r="E38" s="26"/>
      <c r="F38" s="26">
        <v>1</v>
      </c>
      <c r="G38" s="26"/>
      <c r="H38" s="26">
        <v>32</v>
      </c>
    </row>
    <row r="39" spans="1:8" ht="14.25" customHeight="1">
      <c r="A39" s="28" t="s">
        <v>63</v>
      </c>
      <c r="B39" s="29"/>
      <c r="C39" s="29"/>
      <c r="D39" s="29"/>
      <c r="E39" s="29">
        <v>1</v>
      </c>
      <c r="F39" s="29"/>
      <c r="G39" s="29"/>
      <c r="H39" s="29">
        <v>24</v>
      </c>
    </row>
    <row r="40" spans="1:8" ht="14.25" customHeight="1">
      <c r="A40" s="25" t="s">
        <v>64</v>
      </c>
      <c r="B40" s="26"/>
      <c r="C40" s="26"/>
      <c r="D40" s="26"/>
      <c r="E40" s="26">
        <v>1</v>
      </c>
      <c r="F40" s="26"/>
      <c r="G40" s="26"/>
      <c r="H40" s="26">
        <v>24</v>
      </c>
    </row>
    <row r="41" spans="1:8" ht="14.25" customHeight="1">
      <c r="A41" s="28" t="s">
        <v>65</v>
      </c>
      <c r="B41" s="29"/>
      <c r="C41" s="29"/>
      <c r="D41" s="29"/>
      <c r="E41" s="29"/>
      <c r="F41" s="29">
        <v>1</v>
      </c>
      <c r="G41" s="29"/>
      <c r="H41" s="29">
        <v>32</v>
      </c>
    </row>
    <row r="42" spans="1:8" ht="14.25" customHeight="1">
      <c r="A42" s="61" t="s">
        <v>66</v>
      </c>
      <c r="B42" s="61"/>
      <c r="C42" s="61"/>
      <c r="D42" s="61"/>
      <c r="E42" s="61"/>
      <c r="F42" s="61"/>
      <c r="G42" s="61"/>
      <c r="H42" s="31">
        <f>SUM(H28:H41)</f>
        <v>400</v>
      </c>
    </row>
    <row r="43" spans="1:8" ht="14.25" customHeight="1"/>
    <row r="44" spans="1:8" ht="14.25" customHeight="1">
      <c r="A44" s="23" t="s">
        <v>67</v>
      </c>
      <c r="B44" s="22" t="s">
        <v>2</v>
      </c>
      <c r="C44" s="22" t="s">
        <v>3</v>
      </c>
      <c r="D44" s="22" t="s">
        <v>4</v>
      </c>
      <c r="E44" s="22" t="s">
        <v>5</v>
      </c>
      <c r="F44" s="22" t="s">
        <v>6</v>
      </c>
      <c r="G44" s="22" t="s">
        <v>7</v>
      </c>
      <c r="H44" s="22" t="s">
        <v>8</v>
      </c>
    </row>
    <row r="45" spans="1:8" ht="14.25" customHeight="1">
      <c r="A45" s="25" t="s">
        <v>68</v>
      </c>
      <c r="B45" s="26"/>
      <c r="C45" s="26"/>
      <c r="D45" s="26"/>
      <c r="E45" s="26">
        <v>1</v>
      </c>
      <c r="F45" s="26"/>
      <c r="G45" s="26"/>
      <c r="H45" s="26">
        <v>24</v>
      </c>
    </row>
    <row r="46" spans="1:8" ht="14.25" customHeight="1">
      <c r="A46" s="28" t="s">
        <v>69</v>
      </c>
      <c r="B46" s="29"/>
      <c r="C46" s="29"/>
      <c r="D46" s="29"/>
      <c r="E46" s="29"/>
      <c r="F46" s="29">
        <v>1</v>
      </c>
      <c r="G46" s="29"/>
      <c r="H46" s="29">
        <v>32</v>
      </c>
    </row>
    <row r="47" spans="1:8" ht="14.25" customHeight="1">
      <c r="A47" s="25" t="s">
        <v>70</v>
      </c>
      <c r="B47" s="26"/>
      <c r="C47" s="26"/>
      <c r="D47" s="26"/>
      <c r="E47" s="26"/>
      <c r="F47" s="26">
        <v>1</v>
      </c>
      <c r="G47" s="26"/>
      <c r="H47" s="26">
        <v>32</v>
      </c>
    </row>
    <row r="48" spans="1:8" ht="14.25" customHeight="1">
      <c r="A48" s="28" t="s">
        <v>71</v>
      </c>
      <c r="B48" s="29"/>
      <c r="C48" s="29"/>
      <c r="D48" s="29"/>
      <c r="E48" s="29">
        <v>1</v>
      </c>
      <c r="F48" s="29"/>
      <c r="G48" s="29"/>
      <c r="H48" s="29">
        <v>24</v>
      </c>
    </row>
    <row r="49" spans="1:8" ht="14.25" customHeight="1">
      <c r="A49" s="25" t="s">
        <v>72</v>
      </c>
      <c r="B49" s="26"/>
      <c r="C49" s="26"/>
      <c r="D49" s="26"/>
      <c r="E49" s="26"/>
      <c r="F49" s="26">
        <v>1</v>
      </c>
      <c r="G49" s="26"/>
      <c r="H49" s="26">
        <v>32</v>
      </c>
    </row>
    <row r="50" spans="1:8" ht="14.25" customHeight="1">
      <c r="A50" s="28" t="s">
        <v>73</v>
      </c>
      <c r="B50" s="29"/>
      <c r="C50" s="29">
        <v>1</v>
      </c>
      <c r="D50" s="29"/>
      <c r="E50" s="29"/>
      <c r="F50" s="29"/>
      <c r="G50" s="29"/>
      <c r="H50" s="29">
        <v>8</v>
      </c>
    </row>
    <row r="51" spans="1:8" ht="14.25" customHeight="1">
      <c r="A51" s="25" t="s">
        <v>74</v>
      </c>
      <c r="B51" s="26"/>
      <c r="C51" s="26"/>
      <c r="D51" s="26">
        <v>1</v>
      </c>
      <c r="E51" s="26"/>
      <c r="F51" s="26"/>
      <c r="G51" s="26"/>
      <c r="H51" s="26">
        <v>16</v>
      </c>
    </row>
    <row r="52" spans="1:8" ht="14.25" customHeight="1">
      <c r="A52" s="28" t="s">
        <v>75</v>
      </c>
      <c r="B52" s="29"/>
      <c r="C52" s="29"/>
      <c r="D52" s="29"/>
      <c r="E52" s="29"/>
      <c r="F52" s="29"/>
      <c r="G52" s="29">
        <v>1</v>
      </c>
      <c r="H52" s="29">
        <v>40</v>
      </c>
    </row>
    <row r="53" spans="1:8" ht="14.25" customHeight="1">
      <c r="A53" s="25" t="s">
        <v>76</v>
      </c>
      <c r="B53" s="26"/>
      <c r="C53" s="26"/>
      <c r="D53" s="26"/>
      <c r="E53" s="26"/>
      <c r="F53" s="26">
        <v>1</v>
      </c>
      <c r="G53" s="26"/>
      <c r="H53" s="26">
        <v>32</v>
      </c>
    </row>
    <row r="54" spans="1:8" ht="14.25" customHeight="1">
      <c r="A54" s="28" t="s">
        <v>77</v>
      </c>
      <c r="B54" s="29"/>
      <c r="C54" s="29"/>
      <c r="D54" s="29"/>
      <c r="E54" s="29"/>
      <c r="F54" s="29">
        <v>1</v>
      </c>
      <c r="G54" s="29"/>
      <c r="H54" s="29">
        <v>32</v>
      </c>
    </row>
    <row r="55" spans="1:8" ht="14.25" customHeight="1">
      <c r="A55" s="25" t="s">
        <v>78</v>
      </c>
      <c r="B55" s="26"/>
      <c r="C55" s="26"/>
      <c r="D55" s="26"/>
      <c r="E55" s="26">
        <v>1</v>
      </c>
      <c r="F55" s="26"/>
      <c r="G55" s="26"/>
      <c r="H55" s="26">
        <v>24</v>
      </c>
    </row>
    <row r="56" spans="1:8" ht="14.25" customHeight="1">
      <c r="A56" s="61" t="s">
        <v>79</v>
      </c>
      <c r="B56" s="61"/>
      <c r="C56" s="61"/>
      <c r="D56" s="61"/>
      <c r="E56" s="61"/>
      <c r="F56" s="61"/>
      <c r="G56" s="61"/>
      <c r="H56" s="31">
        <f>SUM(H45:H55)</f>
        <v>296</v>
      </c>
    </row>
    <row r="57" spans="1:8" ht="14.25" customHeight="1"/>
    <row r="58" spans="1:8" ht="14.25" customHeight="1">
      <c r="A58" s="23" t="s">
        <v>80</v>
      </c>
      <c r="B58" s="22" t="s">
        <v>2</v>
      </c>
      <c r="C58" s="22" t="s">
        <v>3</v>
      </c>
      <c r="D58" s="22" t="s">
        <v>4</v>
      </c>
      <c r="E58" s="22" t="s">
        <v>5</v>
      </c>
      <c r="F58" s="22" t="s">
        <v>6</v>
      </c>
      <c r="G58" s="22" t="s">
        <v>7</v>
      </c>
      <c r="H58" s="22" t="s">
        <v>8</v>
      </c>
    </row>
    <row r="59" spans="1:8" ht="14.25" customHeight="1">
      <c r="A59" s="25" t="s">
        <v>81</v>
      </c>
      <c r="B59" s="26"/>
      <c r="C59" s="26"/>
      <c r="D59" s="26"/>
      <c r="E59" s="26"/>
      <c r="F59" s="26">
        <v>1</v>
      </c>
      <c r="G59" s="26"/>
      <c r="H59" s="26">
        <v>32</v>
      </c>
    </row>
    <row r="60" spans="1:8" ht="14.25" customHeight="1">
      <c r="A60" s="28" t="s">
        <v>82</v>
      </c>
      <c r="B60" s="29"/>
      <c r="C60" s="29"/>
      <c r="D60" s="29"/>
      <c r="E60" s="29">
        <v>1</v>
      </c>
      <c r="F60" s="29"/>
      <c r="G60" s="29"/>
      <c r="H60" s="29">
        <v>24</v>
      </c>
    </row>
    <row r="61" spans="1:8" ht="14.25" customHeight="1">
      <c r="A61" s="25" t="s">
        <v>83</v>
      </c>
      <c r="B61" s="26"/>
      <c r="C61" s="26"/>
      <c r="D61" s="26"/>
      <c r="E61" s="26">
        <v>1</v>
      </c>
      <c r="F61" s="26"/>
      <c r="G61" s="26"/>
      <c r="H61" s="26">
        <v>24</v>
      </c>
    </row>
    <row r="62" spans="1:8" ht="14.25" customHeight="1">
      <c r="A62" s="28" t="s">
        <v>84</v>
      </c>
      <c r="B62" s="29"/>
      <c r="C62" s="29"/>
      <c r="D62" s="29"/>
      <c r="E62" s="29"/>
      <c r="F62" s="29"/>
      <c r="G62" s="29">
        <v>1</v>
      </c>
      <c r="H62" s="29">
        <v>40</v>
      </c>
    </row>
    <row r="63" spans="1:8" ht="14.25" customHeight="1">
      <c r="A63" s="25" t="s">
        <v>85</v>
      </c>
      <c r="B63" s="26"/>
      <c r="C63" s="26"/>
      <c r="D63" s="26"/>
      <c r="E63" s="26"/>
      <c r="F63" s="26">
        <v>1</v>
      </c>
      <c r="G63" s="26"/>
      <c r="H63" s="26">
        <v>32</v>
      </c>
    </row>
    <row r="64" spans="1:8" ht="14.25" customHeight="1">
      <c r="A64" s="28" t="s">
        <v>86</v>
      </c>
      <c r="B64" s="29"/>
      <c r="C64" s="29"/>
      <c r="D64" s="29"/>
      <c r="E64" s="29"/>
      <c r="F64" s="29">
        <v>1</v>
      </c>
      <c r="G64" s="29"/>
      <c r="H64" s="29">
        <v>32</v>
      </c>
    </row>
    <row r="65" spans="1:8" ht="14.25" customHeight="1">
      <c r="A65" s="25" t="s">
        <v>87</v>
      </c>
      <c r="B65" s="26"/>
      <c r="C65" s="26"/>
      <c r="D65" s="26"/>
      <c r="E65" s="26"/>
      <c r="F65" s="26">
        <v>1</v>
      </c>
      <c r="G65" s="26"/>
      <c r="H65" s="26">
        <v>32</v>
      </c>
    </row>
    <row r="66" spans="1:8" ht="14.25" customHeight="1">
      <c r="A66" s="28" t="s">
        <v>88</v>
      </c>
      <c r="B66" s="29"/>
      <c r="C66" s="29"/>
      <c r="D66" s="29"/>
      <c r="E66" s="29"/>
      <c r="F66" s="29">
        <v>1</v>
      </c>
      <c r="G66" s="29"/>
      <c r="H66" s="29">
        <v>32</v>
      </c>
    </row>
    <row r="67" spans="1:8" ht="14.25" customHeight="1">
      <c r="A67" s="25" t="s">
        <v>89</v>
      </c>
      <c r="B67" s="26"/>
      <c r="C67" s="26"/>
      <c r="D67" s="26"/>
      <c r="E67" s="26"/>
      <c r="F67" s="26"/>
      <c r="G67" s="26">
        <v>1</v>
      </c>
      <c r="H67" s="26">
        <v>40</v>
      </c>
    </row>
    <row r="68" spans="1:8" ht="14.25" customHeight="1">
      <c r="A68" s="28" t="s">
        <v>90</v>
      </c>
      <c r="B68" s="29"/>
      <c r="C68" s="29"/>
      <c r="D68" s="29"/>
      <c r="E68" s="29"/>
      <c r="F68" s="29">
        <v>1</v>
      </c>
      <c r="G68" s="29"/>
      <c r="H68" s="29">
        <v>32</v>
      </c>
    </row>
    <row r="69" spans="1:8" ht="14.25" customHeight="1">
      <c r="A69" s="25" t="s">
        <v>91</v>
      </c>
      <c r="B69" s="26"/>
      <c r="C69" s="26"/>
      <c r="D69" s="26"/>
      <c r="E69" s="26">
        <v>1</v>
      </c>
      <c r="F69" s="26"/>
      <c r="G69" s="26"/>
      <c r="H69" s="26">
        <v>24</v>
      </c>
    </row>
    <row r="70" spans="1:8" ht="14.25" customHeight="1">
      <c r="A70" s="28" t="s">
        <v>92</v>
      </c>
      <c r="B70" s="29"/>
      <c r="C70" s="29"/>
      <c r="D70" s="29"/>
      <c r="E70" s="29">
        <v>1</v>
      </c>
      <c r="F70" s="29"/>
      <c r="G70" s="29"/>
      <c r="H70" s="29">
        <v>24</v>
      </c>
    </row>
    <row r="71" spans="1:8" ht="14.25" customHeight="1">
      <c r="A71" s="61" t="s">
        <v>93</v>
      </c>
      <c r="B71" s="61"/>
      <c r="C71" s="61"/>
      <c r="D71" s="61"/>
      <c r="E71" s="61"/>
      <c r="F71" s="61"/>
      <c r="G71" s="61"/>
      <c r="H71" s="31">
        <f>SUM(H59:H70)</f>
        <v>368</v>
      </c>
    </row>
    <row r="72" spans="1:8" ht="14.25" customHeight="1"/>
    <row r="73" spans="1:8" ht="14.25" customHeight="1">
      <c r="A73" s="23" t="s">
        <v>94</v>
      </c>
      <c r="B73" s="22" t="s">
        <v>2</v>
      </c>
      <c r="C73" s="22" t="s">
        <v>3</v>
      </c>
      <c r="D73" s="22" t="s">
        <v>4</v>
      </c>
      <c r="E73" s="22" t="s">
        <v>5</v>
      </c>
      <c r="F73" s="22" t="s">
        <v>6</v>
      </c>
      <c r="G73" s="22" t="s">
        <v>7</v>
      </c>
      <c r="H73" s="22" t="s">
        <v>8</v>
      </c>
    </row>
    <row r="74" spans="1:8" ht="14.25" customHeight="1">
      <c r="A74" s="25" t="s">
        <v>95</v>
      </c>
      <c r="B74" s="26"/>
      <c r="C74" s="26"/>
      <c r="D74" s="26"/>
      <c r="E74" s="26">
        <v>1</v>
      </c>
      <c r="F74" s="26"/>
      <c r="G74" s="26"/>
      <c r="H74" s="26">
        <v>24</v>
      </c>
    </row>
    <row r="75" spans="1:8" ht="14.25" customHeight="1">
      <c r="A75" s="28" t="s">
        <v>96</v>
      </c>
      <c r="B75" s="29"/>
      <c r="C75" s="29"/>
      <c r="D75" s="29"/>
      <c r="E75" s="29"/>
      <c r="F75" s="29">
        <v>1</v>
      </c>
      <c r="G75" s="29"/>
      <c r="H75" s="29">
        <v>32</v>
      </c>
    </row>
    <row r="76" spans="1:8" ht="14.25" customHeight="1">
      <c r="A76" s="25" t="s">
        <v>97</v>
      </c>
      <c r="B76" s="26"/>
      <c r="C76" s="26"/>
      <c r="D76" s="26"/>
      <c r="E76" s="26">
        <v>1</v>
      </c>
      <c r="F76" s="26"/>
      <c r="G76" s="26"/>
      <c r="H76" s="26">
        <v>24</v>
      </c>
    </row>
    <row r="77" spans="1:8" ht="14.25" customHeight="1">
      <c r="A77" s="28" t="s">
        <v>98</v>
      </c>
      <c r="B77" s="29"/>
      <c r="C77" s="29"/>
      <c r="D77" s="29"/>
      <c r="E77" s="29">
        <v>1</v>
      </c>
      <c r="F77" s="29"/>
      <c r="G77" s="29"/>
      <c r="H77" s="29">
        <v>24</v>
      </c>
    </row>
    <row r="78" spans="1:8" ht="14.25" customHeight="1">
      <c r="A78" s="25" t="s">
        <v>99</v>
      </c>
      <c r="B78" s="26"/>
      <c r="C78" s="26"/>
      <c r="D78" s="26"/>
      <c r="E78" s="26">
        <v>1</v>
      </c>
      <c r="F78" s="26"/>
      <c r="G78" s="26"/>
      <c r="H78" s="26">
        <v>24</v>
      </c>
    </row>
    <row r="79" spans="1:8" ht="14.25" customHeight="1">
      <c r="A79" s="28" t="s">
        <v>100</v>
      </c>
      <c r="B79" s="29"/>
      <c r="C79" s="29"/>
      <c r="D79" s="29"/>
      <c r="E79" s="29"/>
      <c r="F79" s="29">
        <v>1</v>
      </c>
      <c r="G79" s="29"/>
      <c r="H79" s="29">
        <v>32</v>
      </c>
    </row>
    <row r="80" spans="1:8" ht="14.25" customHeight="1">
      <c r="A80" s="25" t="s">
        <v>101</v>
      </c>
      <c r="B80" s="26"/>
      <c r="C80" s="26"/>
      <c r="D80" s="26"/>
      <c r="E80" s="26"/>
      <c r="F80" s="26">
        <v>1</v>
      </c>
      <c r="G80" s="26"/>
      <c r="H80" s="26">
        <v>32</v>
      </c>
    </row>
    <row r="81" spans="1:8" ht="14.25" customHeight="1">
      <c r="A81" s="28" t="s">
        <v>102</v>
      </c>
      <c r="B81" s="29"/>
      <c r="C81" s="29"/>
      <c r="D81" s="29"/>
      <c r="E81" s="29"/>
      <c r="F81" s="29">
        <v>1</v>
      </c>
      <c r="G81" s="29"/>
      <c r="H81" s="29">
        <v>32</v>
      </c>
    </row>
    <row r="82" spans="1:8" ht="14.25" customHeight="1">
      <c r="A82" s="25" t="s">
        <v>103</v>
      </c>
      <c r="B82" s="26"/>
      <c r="C82" s="26"/>
      <c r="D82" s="26"/>
      <c r="E82" s="26"/>
      <c r="F82" s="26"/>
      <c r="G82" s="26">
        <v>1</v>
      </c>
      <c r="H82" s="26">
        <v>40</v>
      </c>
    </row>
    <row r="83" spans="1:8" ht="14.25" customHeight="1">
      <c r="A83" s="28" t="s">
        <v>104</v>
      </c>
      <c r="B83" s="29"/>
      <c r="C83" s="29"/>
      <c r="D83" s="29"/>
      <c r="E83" s="29">
        <v>1</v>
      </c>
      <c r="F83" s="29"/>
      <c r="G83" s="29"/>
      <c r="H83" s="29">
        <v>24</v>
      </c>
    </row>
    <row r="84" spans="1:8" ht="14.25" customHeight="1">
      <c r="A84" s="25" t="s">
        <v>105</v>
      </c>
      <c r="B84" s="26"/>
      <c r="C84" s="26"/>
      <c r="D84" s="26"/>
      <c r="E84" s="26"/>
      <c r="F84" s="26">
        <v>1</v>
      </c>
      <c r="G84" s="26"/>
      <c r="H84" s="26">
        <v>32</v>
      </c>
    </row>
    <row r="85" spans="1:8" ht="14.25" customHeight="1">
      <c r="A85" s="28" t="s">
        <v>106</v>
      </c>
      <c r="B85" s="29"/>
      <c r="C85" s="29"/>
      <c r="D85" s="29"/>
      <c r="E85" s="29"/>
      <c r="F85" s="29"/>
      <c r="G85" s="29">
        <v>1</v>
      </c>
      <c r="H85" s="29">
        <v>40</v>
      </c>
    </row>
    <row r="86" spans="1:8" ht="14.25" customHeight="1">
      <c r="A86" s="61" t="s">
        <v>107</v>
      </c>
      <c r="B86" s="61"/>
      <c r="C86" s="61"/>
      <c r="D86" s="61"/>
      <c r="E86" s="61"/>
      <c r="F86" s="61"/>
      <c r="G86" s="61"/>
      <c r="H86" s="31">
        <f>SUM(H74:H85)</f>
        <v>360</v>
      </c>
    </row>
    <row r="87" spans="1:8" ht="14.25" customHeight="1"/>
    <row r="88" spans="1:8" ht="14.25" customHeight="1">
      <c r="A88" s="23" t="s">
        <v>108</v>
      </c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</row>
    <row r="89" spans="1:8" ht="14.25" customHeight="1">
      <c r="A89" s="25" t="s">
        <v>109</v>
      </c>
      <c r="B89" s="26"/>
      <c r="C89" s="26"/>
      <c r="D89" s="26"/>
      <c r="E89" s="26"/>
      <c r="F89" s="26">
        <v>1</v>
      </c>
      <c r="G89" s="26"/>
      <c r="H89" s="26">
        <v>32</v>
      </c>
    </row>
    <row r="90" spans="1:8" ht="14.25" customHeight="1">
      <c r="A90" s="28" t="s">
        <v>110</v>
      </c>
      <c r="B90" s="29"/>
      <c r="C90" s="29"/>
      <c r="D90" s="29"/>
      <c r="E90" s="29"/>
      <c r="F90" s="29">
        <v>1</v>
      </c>
      <c r="G90" s="29"/>
      <c r="H90" s="29">
        <v>32</v>
      </c>
    </row>
    <row r="91" spans="1:8" ht="14.25" customHeight="1">
      <c r="A91" s="25" t="s">
        <v>111</v>
      </c>
      <c r="B91" s="26"/>
      <c r="C91" s="26"/>
      <c r="D91" s="26"/>
      <c r="E91" s="26"/>
      <c r="F91" s="26">
        <v>1</v>
      </c>
      <c r="G91" s="26"/>
      <c r="H91" s="26">
        <v>32</v>
      </c>
    </row>
    <row r="92" spans="1:8" ht="14.25" customHeight="1">
      <c r="A92" s="28" t="s">
        <v>112</v>
      </c>
      <c r="B92" s="29"/>
      <c r="C92" s="29"/>
      <c r="D92" s="29"/>
      <c r="E92" s="29"/>
      <c r="F92" s="29"/>
      <c r="G92" s="29">
        <v>1</v>
      </c>
      <c r="H92" s="29">
        <v>40</v>
      </c>
    </row>
    <row r="93" spans="1:8" ht="14.25" customHeight="1">
      <c r="A93" s="25" t="s">
        <v>113</v>
      </c>
      <c r="B93" s="26"/>
      <c r="C93" s="26"/>
      <c r="D93" s="26"/>
      <c r="E93" s="26"/>
      <c r="F93" s="26">
        <v>1</v>
      </c>
      <c r="G93" s="26"/>
      <c r="H93" s="26">
        <v>32</v>
      </c>
    </row>
    <row r="94" spans="1:8" ht="14.25" customHeight="1">
      <c r="A94" s="28" t="s">
        <v>114</v>
      </c>
      <c r="B94" s="29"/>
      <c r="C94" s="29"/>
      <c r="D94" s="29"/>
      <c r="E94" s="29">
        <v>1</v>
      </c>
      <c r="F94" s="29"/>
      <c r="G94" s="29"/>
      <c r="H94" s="29">
        <v>24</v>
      </c>
    </row>
    <row r="95" spans="1:8" ht="14.25" customHeight="1">
      <c r="A95" s="25" t="s">
        <v>115</v>
      </c>
      <c r="B95" s="26"/>
      <c r="C95" s="26"/>
      <c r="D95" s="26"/>
      <c r="E95" s="26"/>
      <c r="F95" s="26">
        <v>1</v>
      </c>
      <c r="G95" s="26"/>
      <c r="H95" s="26">
        <v>32</v>
      </c>
    </row>
    <row r="96" spans="1:8" ht="14.25" customHeight="1">
      <c r="A96" s="28" t="s">
        <v>116</v>
      </c>
      <c r="B96" s="29"/>
      <c r="C96" s="29"/>
      <c r="D96" s="29"/>
      <c r="E96" s="29"/>
      <c r="F96" s="29">
        <v>1</v>
      </c>
      <c r="G96" s="29"/>
      <c r="H96" s="29">
        <v>32</v>
      </c>
    </row>
    <row r="97" spans="1:8" ht="14.25" customHeight="1">
      <c r="A97" s="25" t="s">
        <v>117</v>
      </c>
      <c r="B97" s="26"/>
      <c r="C97" s="26"/>
      <c r="D97" s="26"/>
      <c r="E97" s="26"/>
      <c r="F97" s="26">
        <v>1</v>
      </c>
      <c r="G97" s="26"/>
      <c r="H97" s="26">
        <v>32</v>
      </c>
    </row>
    <row r="98" spans="1:8" ht="14.25" customHeight="1">
      <c r="A98" s="28" t="s">
        <v>118</v>
      </c>
      <c r="B98" s="29"/>
      <c r="C98" s="29"/>
      <c r="D98" s="29"/>
      <c r="E98" s="29">
        <v>1</v>
      </c>
      <c r="F98" s="29"/>
      <c r="G98" s="29"/>
      <c r="H98" s="29">
        <v>24</v>
      </c>
    </row>
    <row r="99" spans="1:8" ht="14.25" customHeight="1">
      <c r="A99" s="25" t="s">
        <v>119</v>
      </c>
      <c r="B99" s="26"/>
      <c r="C99" s="26"/>
      <c r="D99" s="26"/>
      <c r="E99" s="26">
        <v>1</v>
      </c>
      <c r="F99" s="26"/>
      <c r="G99" s="26"/>
      <c r="H99" s="26">
        <v>24</v>
      </c>
    </row>
    <row r="100" spans="1:8" ht="14.25" customHeight="1">
      <c r="A100" s="28" t="s">
        <v>120</v>
      </c>
      <c r="B100" s="29"/>
      <c r="C100" s="29"/>
      <c r="D100" s="29"/>
      <c r="E100" s="29">
        <v>1</v>
      </c>
      <c r="F100" s="29"/>
      <c r="G100" s="29"/>
      <c r="H100" s="29">
        <v>24</v>
      </c>
    </row>
    <row r="101" spans="1:8" ht="14.25" customHeight="1">
      <c r="A101" s="61" t="s">
        <v>121</v>
      </c>
      <c r="B101" s="61"/>
      <c r="C101" s="61"/>
      <c r="D101" s="61"/>
      <c r="E101" s="61"/>
      <c r="F101" s="61"/>
      <c r="G101" s="61"/>
      <c r="H101" s="31">
        <f>SUM(H89:H100)</f>
        <v>360</v>
      </c>
    </row>
    <row r="102" spans="1:8" ht="14.25" customHeight="1"/>
    <row r="103" spans="1:8" ht="14.25" customHeight="1">
      <c r="A103" s="62" t="s">
        <v>122</v>
      </c>
      <c r="B103" s="62"/>
      <c r="C103" s="62"/>
      <c r="D103" s="62"/>
      <c r="E103" s="62"/>
      <c r="F103" s="62"/>
      <c r="G103" s="62"/>
      <c r="H103" s="32">
        <f>H12+H25+H42+H56+H71+H86+H101</f>
        <v>2192</v>
      </c>
    </row>
    <row r="104" spans="1:8" ht="14.25" customHeight="1"/>
    <row r="105" spans="1:8" ht="14.25" customHeight="1"/>
    <row r="106" spans="1:8" ht="14.25" customHeight="1"/>
    <row r="107" spans="1:8" ht="14.25" customHeight="1"/>
    <row r="108" spans="1:8" ht="14.25" customHeight="1"/>
    <row r="109" spans="1:8" ht="14.25" customHeight="1"/>
    <row r="110" spans="1:8" ht="14.25" customHeight="1"/>
    <row r="111" spans="1:8" ht="14.25" customHeight="1"/>
    <row r="112" spans="1:8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13">
    <mergeCell ref="A103:G103"/>
    <mergeCell ref="J6:O6"/>
    <mergeCell ref="J14:M14"/>
    <mergeCell ref="A42:G42"/>
    <mergeCell ref="A56:G56"/>
    <mergeCell ref="A71:G71"/>
    <mergeCell ref="A86:G86"/>
    <mergeCell ref="A101:G101"/>
    <mergeCell ref="A1:H2"/>
    <mergeCell ref="J9:M9"/>
    <mergeCell ref="J22:N22"/>
    <mergeCell ref="A12:G12"/>
    <mergeCell ref="A25:G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workbookViewId="0"/>
  </sheetViews>
  <sheetFormatPr baseColWidth="10" defaultColWidth="14.42578125" defaultRowHeight="15"/>
  <cols>
    <col min="1" max="1" width="10.7109375" customWidth="1"/>
    <col min="2" max="2" width="42" customWidth="1"/>
    <col min="3" max="7" width="15" customWidth="1"/>
    <col min="8" max="8" width="22" customWidth="1"/>
    <col min="9" max="9" width="15" customWidth="1"/>
    <col min="10" max="26" width="10.7109375" customWidth="1"/>
  </cols>
  <sheetData>
    <row r="1" spans="2:9" ht="14.25" customHeight="1"/>
    <row r="2" spans="2:9" ht="14.25" customHeight="1">
      <c r="B2" s="69" t="s">
        <v>123</v>
      </c>
      <c r="C2" s="69"/>
      <c r="D2" s="69"/>
      <c r="E2" s="69"/>
      <c r="F2" s="69"/>
      <c r="G2" s="69"/>
      <c r="H2" s="37" t="s">
        <v>124</v>
      </c>
      <c r="I2" s="38">
        <v>175</v>
      </c>
    </row>
    <row r="3" spans="2:9" ht="14.25" customHeight="1">
      <c r="B3" s="64"/>
      <c r="C3" s="65"/>
      <c r="D3" s="65"/>
      <c r="E3" s="65"/>
      <c r="F3" s="59"/>
    </row>
    <row r="4" spans="2:9" ht="14.25" customHeight="1">
      <c r="B4" s="70" t="s">
        <v>125</v>
      </c>
      <c r="C4" s="70"/>
      <c r="D4" s="70"/>
      <c r="E4" s="70"/>
      <c r="F4" s="70"/>
      <c r="G4" s="70"/>
    </row>
    <row r="5" spans="2:9" ht="14.25" customHeight="1">
      <c r="B5" s="10" t="s">
        <v>126</v>
      </c>
      <c r="C5" s="10">
        <v>1</v>
      </c>
      <c r="D5" s="10">
        <v>2</v>
      </c>
      <c r="E5" s="10">
        <v>3</v>
      </c>
      <c r="F5" s="10">
        <f t="shared" ref="F5:G5" si="0">C5/4</f>
        <v>0.25</v>
      </c>
      <c r="G5" s="10">
        <f t="shared" si="0"/>
        <v>0.5</v>
      </c>
    </row>
    <row r="6" spans="2:9" ht="14.25" customHeight="1">
      <c r="B6" s="18" t="s">
        <v>127</v>
      </c>
      <c r="C6" s="34">
        <f>Estimación!$H$103</f>
        <v>2192</v>
      </c>
      <c r="D6" s="34">
        <f>Estimación!$H$103</f>
        <v>2192</v>
      </c>
      <c r="E6" s="34">
        <f>Estimación!$H$103</f>
        <v>2192</v>
      </c>
      <c r="F6" s="34">
        <f>Estimación!$H$103</f>
        <v>2192</v>
      </c>
      <c r="G6" s="34">
        <f>Estimación!$H$103</f>
        <v>2192</v>
      </c>
    </row>
    <row r="7" spans="2:9" ht="14.25" customHeight="1">
      <c r="B7" s="18" t="s">
        <v>20</v>
      </c>
      <c r="C7" s="34">
        <f>C6/1</f>
        <v>2192</v>
      </c>
      <c r="D7" s="34">
        <f>D6/2</f>
        <v>1096</v>
      </c>
      <c r="E7" s="34">
        <f>E6/3</f>
        <v>730.66666666666663</v>
      </c>
      <c r="F7" s="34">
        <f>F6/4</f>
        <v>548</v>
      </c>
      <c r="G7" s="34">
        <f>G6/5</f>
        <v>438.4</v>
      </c>
    </row>
    <row r="8" spans="2:9" ht="14.25" customHeight="1">
      <c r="B8" s="18" t="s">
        <v>128</v>
      </c>
      <c r="C8" s="34">
        <f>C7/40</f>
        <v>54.8</v>
      </c>
      <c r="D8" s="34">
        <f>D7/40</f>
        <v>27.4</v>
      </c>
      <c r="E8" s="34">
        <f>E7/40</f>
        <v>18.266666666666666</v>
      </c>
      <c r="F8" s="34">
        <f>F7/40</f>
        <v>13.7</v>
      </c>
      <c r="G8" s="34">
        <f>G7/40</f>
        <v>10.959999999999999</v>
      </c>
      <c r="I8" s="8"/>
    </row>
    <row r="9" spans="2:9" ht="14.25" customHeight="1">
      <c r="B9" s="39" t="s">
        <v>129</v>
      </c>
      <c r="C9" s="33">
        <f>C8/4</f>
        <v>13.7</v>
      </c>
      <c r="D9" s="33">
        <f>D8/4</f>
        <v>6.85</v>
      </c>
      <c r="E9" s="33">
        <f>E8/4</f>
        <v>4.5666666666666664</v>
      </c>
      <c r="F9" s="33">
        <f>F8/4</f>
        <v>3.4249999999999998</v>
      </c>
      <c r="G9" s="40">
        <f>G8/4</f>
        <v>2.7399999999999998</v>
      </c>
    </row>
    <row r="10" spans="2:9" ht="14.25" customHeight="1">
      <c r="B10" s="66" t="s">
        <v>130</v>
      </c>
      <c r="C10" s="67">
        <f>C6*$I$2</f>
        <v>383600</v>
      </c>
      <c r="D10" s="67">
        <f>D6*$I$2</f>
        <v>383600</v>
      </c>
      <c r="E10" s="67">
        <f>E6*$I$2</f>
        <v>383600</v>
      </c>
      <c r="F10" s="68">
        <f>F6*$I$2</f>
        <v>383600</v>
      </c>
      <c r="G10" s="41">
        <f>G6*$I$2</f>
        <v>383600</v>
      </c>
    </row>
    <row r="11" spans="2:9" ht="14.25" customHeight="1">
      <c r="B11" s="4"/>
      <c r="C11" s="4"/>
      <c r="D11" s="4"/>
      <c r="E11" s="4"/>
      <c r="F11" s="4"/>
      <c r="G11" s="5"/>
    </row>
    <row r="12" spans="2:9" ht="14.25" customHeight="1">
      <c r="B12" s="70" t="s">
        <v>131</v>
      </c>
      <c r="C12" s="71">
        <f t="shared" ref="C12:G12" si="1">(C8*50)/100</f>
        <v>27.4</v>
      </c>
      <c r="D12" s="71">
        <f t="shared" si="1"/>
        <v>13.7</v>
      </c>
      <c r="E12" s="71">
        <f t="shared" si="1"/>
        <v>9.1333333333333329</v>
      </c>
      <c r="F12" s="71">
        <f t="shared" si="1"/>
        <v>6.85</v>
      </c>
      <c r="G12" s="71">
        <f t="shared" si="1"/>
        <v>5.48</v>
      </c>
    </row>
    <row r="13" spans="2:9" ht="14.25" customHeight="1">
      <c r="B13" s="10" t="s">
        <v>132</v>
      </c>
      <c r="C13" s="42">
        <f t="shared" ref="C13:G13" si="2">(C8*30)/100</f>
        <v>16.440000000000001</v>
      </c>
      <c r="D13" s="42">
        <f t="shared" si="2"/>
        <v>8.2200000000000006</v>
      </c>
      <c r="E13" s="42">
        <f t="shared" si="2"/>
        <v>5.48</v>
      </c>
      <c r="F13" s="42">
        <f t="shared" si="2"/>
        <v>4.1100000000000003</v>
      </c>
      <c r="G13" s="42">
        <f t="shared" si="2"/>
        <v>3.2879999999999994</v>
      </c>
    </row>
    <row r="14" spans="2:9" ht="14.25" customHeight="1">
      <c r="B14" s="13" t="s">
        <v>133</v>
      </c>
      <c r="C14" s="45">
        <f t="shared" ref="C14:G14" si="3">C$10*0.55</f>
        <v>210980.00000000003</v>
      </c>
      <c r="D14" s="45">
        <f t="shared" si="3"/>
        <v>210980.00000000003</v>
      </c>
      <c r="E14" s="45">
        <f t="shared" si="3"/>
        <v>210980.00000000003</v>
      </c>
      <c r="F14" s="45">
        <f t="shared" si="3"/>
        <v>210980.00000000003</v>
      </c>
      <c r="G14" s="45">
        <f t="shared" si="3"/>
        <v>210980.00000000003</v>
      </c>
    </row>
    <row r="15" spans="2:9" ht="14.25" customHeight="1">
      <c r="B15" s="13" t="s">
        <v>134</v>
      </c>
      <c r="C15" s="45">
        <f t="shared" ref="C15:G15" si="4">C$10*0.15</f>
        <v>57540</v>
      </c>
      <c r="D15" s="45">
        <f t="shared" si="4"/>
        <v>57540</v>
      </c>
      <c r="E15" s="45">
        <f t="shared" si="4"/>
        <v>57540</v>
      </c>
      <c r="F15" s="45">
        <f t="shared" si="4"/>
        <v>57540</v>
      </c>
      <c r="G15" s="45">
        <f t="shared" si="4"/>
        <v>57540</v>
      </c>
    </row>
    <row r="16" spans="2:9" ht="14.25" customHeight="1">
      <c r="B16" s="13" t="s">
        <v>135</v>
      </c>
      <c r="C16" s="45">
        <f t="shared" ref="C16:G16" si="5">C$10*0.1</f>
        <v>38360</v>
      </c>
      <c r="D16" s="45">
        <f t="shared" si="5"/>
        <v>38360</v>
      </c>
      <c r="E16" s="45">
        <f t="shared" si="5"/>
        <v>38360</v>
      </c>
      <c r="F16" s="45">
        <f t="shared" si="5"/>
        <v>38360</v>
      </c>
      <c r="G16" s="45">
        <f t="shared" si="5"/>
        <v>38360</v>
      </c>
    </row>
    <row r="17" spans="2:7" ht="14.25" customHeight="1">
      <c r="B17" s="43" t="s">
        <v>136</v>
      </c>
      <c r="C17" s="46">
        <f>C$10*0.1</f>
        <v>38360</v>
      </c>
      <c r="D17" s="46">
        <f>D$10*0.1</f>
        <v>38360</v>
      </c>
      <c r="E17" s="46">
        <f>E$10*0.1</f>
        <v>38360</v>
      </c>
      <c r="F17" s="46">
        <f>F$10*0.1</f>
        <v>38360</v>
      </c>
      <c r="G17" s="47">
        <f>G$10*0.1</f>
        <v>38360</v>
      </c>
    </row>
    <row r="18" spans="2:7" ht="14.25" customHeight="1">
      <c r="B18" s="43" t="s">
        <v>137</v>
      </c>
      <c r="C18" s="46">
        <f t="shared" ref="C18:G19" si="6">C$10*0.05</f>
        <v>19180</v>
      </c>
      <c r="D18" s="46">
        <f t="shared" si="6"/>
        <v>19180</v>
      </c>
      <c r="E18" s="46">
        <f t="shared" si="6"/>
        <v>19180</v>
      </c>
      <c r="F18" s="46">
        <f t="shared" si="6"/>
        <v>19180</v>
      </c>
      <c r="G18" s="47">
        <f t="shared" si="6"/>
        <v>19180</v>
      </c>
    </row>
    <row r="19" spans="2:7" ht="14.25" customHeight="1">
      <c r="B19" s="43" t="s">
        <v>138</v>
      </c>
      <c r="C19" s="46">
        <f t="shared" si="6"/>
        <v>19180</v>
      </c>
      <c r="D19" s="46">
        <f t="shared" si="6"/>
        <v>19180</v>
      </c>
      <c r="E19" s="46">
        <f t="shared" si="6"/>
        <v>19180</v>
      </c>
      <c r="F19" s="46">
        <f t="shared" si="6"/>
        <v>19180</v>
      </c>
      <c r="G19" s="47">
        <f t="shared" si="6"/>
        <v>19180</v>
      </c>
    </row>
    <row r="20" spans="2:7" ht="14.25" customHeight="1">
      <c r="B20" s="44" t="s">
        <v>139</v>
      </c>
      <c r="C20" s="48">
        <f>SUM(C14:C19)</f>
        <v>383600</v>
      </c>
      <c r="D20" s="48">
        <f>SUM(D14:D19)</f>
        <v>383600</v>
      </c>
      <c r="E20" s="48">
        <f>SUM(E14:E19)</f>
        <v>383600</v>
      </c>
      <c r="F20" s="48">
        <f>SUM(F14:F19)</f>
        <v>383600</v>
      </c>
      <c r="G20" s="49">
        <f>SUM(G14:G19)</f>
        <v>383600</v>
      </c>
    </row>
    <row r="21" spans="2:7" ht="14.25" customHeight="1"/>
    <row r="22" spans="2:7" ht="14.25" customHeight="1"/>
    <row r="23" spans="2:7" ht="14.25" customHeight="1">
      <c r="B23" s="63" t="s">
        <v>140</v>
      </c>
      <c r="C23" s="63"/>
      <c r="D23" s="63"/>
      <c r="E23" s="63"/>
    </row>
    <row r="24" spans="2:7" ht="14.25" customHeight="1">
      <c r="B24" s="9" t="s">
        <v>31</v>
      </c>
      <c r="C24" s="9" t="s">
        <v>8</v>
      </c>
      <c r="D24" s="9" t="s">
        <v>141</v>
      </c>
      <c r="E24" s="9" t="s">
        <v>142</v>
      </c>
    </row>
    <row r="25" spans="2:7" ht="14.25" customHeight="1">
      <c r="B25" s="24" t="s">
        <v>35</v>
      </c>
      <c r="C25" s="24">
        <f>Estimación!H12</f>
        <v>160</v>
      </c>
      <c r="D25" s="35">
        <f>C25/Estimación!$H$103</f>
        <v>7.2992700729927001E-2</v>
      </c>
      <c r="E25" s="46">
        <f t="shared" ref="E25:E31" si="7">C25*$I$2</f>
        <v>28000</v>
      </c>
    </row>
    <row r="26" spans="2:7" ht="14.25" customHeight="1">
      <c r="B26" s="24" t="s">
        <v>37</v>
      </c>
      <c r="C26" s="24">
        <f>Estimación!H25</f>
        <v>248</v>
      </c>
      <c r="D26" s="35">
        <f>C26/Estimación!$H$103</f>
        <v>0.11313868613138686</v>
      </c>
      <c r="E26" s="46">
        <f t="shared" si="7"/>
        <v>43400</v>
      </c>
    </row>
    <row r="27" spans="2:7" ht="14.25" customHeight="1">
      <c r="B27" s="24" t="s">
        <v>39</v>
      </c>
      <c r="C27" s="24">
        <f>Estimación!H42</f>
        <v>400</v>
      </c>
      <c r="D27" s="35">
        <f>C27/Estimación!$H$103</f>
        <v>0.18248175182481752</v>
      </c>
      <c r="E27" s="46">
        <f t="shared" si="7"/>
        <v>70000</v>
      </c>
    </row>
    <row r="28" spans="2:7" ht="14.25" customHeight="1">
      <c r="B28" s="24" t="s">
        <v>41</v>
      </c>
      <c r="C28" s="24">
        <f>Estimación!H56</f>
        <v>296</v>
      </c>
      <c r="D28" s="35">
        <f>C28/Estimación!$H$103</f>
        <v>0.13503649635036497</v>
      </c>
      <c r="E28" s="46">
        <f t="shared" si="7"/>
        <v>51800</v>
      </c>
    </row>
    <row r="29" spans="2:7" ht="14.25" customHeight="1">
      <c r="B29" s="24" t="s">
        <v>43</v>
      </c>
      <c r="C29" s="24">
        <f>Estimación!H71</f>
        <v>368</v>
      </c>
      <c r="D29" s="35">
        <f>C29/Estimación!$H$103</f>
        <v>0.16788321167883211</v>
      </c>
      <c r="E29" s="46">
        <f t="shared" si="7"/>
        <v>64400</v>
      </c>
    </row>
    <row r="30" spans="2:7" ht="14.25" customHeight="1">
      <c r="B30" s="24" t="s">
        <v>45</v>
      </c>
      <c r="C30" s="24">
        <f>Estimación!H86</f>
        <v>360</v>
      </c>
      <c r="D30" s="35">
        <f>C30/Estimación!$H$103</f>
        <v>0.16423357664233576</v>
      </c>
      <c r="E30" s="46">
        <f t="shared" si="7"/>
        <v>63000</v>
      </c>
    </row>
    <row r="31" spans="2:7" ht="14.25" customHeight="1">
      <c r="B31" s="24" t="s">
        <v>47</v>
      </c>
      <c r="C31" s="24">
        <f>Estimación!H101</f>
        <v>360</v>
      </c>
      <c r="D31" s="35">
        <f>C31/Estimación!$H$103</f>
        <v>0.16423357664233576</v>
      </c>
      <c r="E31" s="46">
        <f t="shared" si="7"/>
        <v>63000</v>
      </c>
    </row>
    <row r="32" spans="2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3:E23"/>
    <mergeCell ref="B3:F3"/>
    <mergeCell ref="B10:F10"/>
    <mergeCell ref="B2:G2"/>
    <mergeCell ref="B4:G4"/>
    <mergeCell ref="B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sqref="A1:H1"/>
    </sheetView>
  </sheetViews>
  <sheetFormatPr baseColWidth="10" defaultColWidth="9.140625" defaultRowHeight="15"/>
  <cols>
    <col min="1" max="1" width="43" customWidth="1"/>
    <col min="2" max="4" width="18" customWidth="1"/>
  </cols>
  <sheetData>
    <row r="1" spans="1:8" ht="21">
      <c r="A1" s="72" t="s">
        <v>143</v>
      </c>
      <c r="B1" s="72"/>
      <c r="C1" s="72"/>
      <c r="D1" s="72"/>
      <c r="E1" s="72"/>
      <c r="F1" s="72"/>
      <c r="G1" s="72"/>
      <c r="H1" s="72"/>
    </row>
    <row r="3" spans="1:8">
      <c r="A3" s="9" t="s">
        <v>13</v>
      </c>
      <c r="B3" s="9" t="s">
        <v>144</v>
      </c>
    </row>
    <row r="4" spans="1:8">
      <c r="A4" s="30" t="s">
        <v>127</v>
      </c>
      <c r="B4" s="51">
        <f>Estimación!H103</f>
        <v>2192</v>
      </c>
    </row>
    <row r="5" spans="1:8">
      <c r="A5" s="30" t="s">
        <v>145</v>
      </c>
      <c r="B5" s="50">
        <f>Costos!I2</f>
        <v>175</v>
      </c>
    </row>
    <row r="6" spans="1:8">
      <c r="A6" s="30" t="s">
        <v>146</v>
      </c>
      <c r="B6" s="50">
        <f>B4*B5</f>
        <v>383600</v>
      </c>
    </row>
    <row r="7" spans="1:8">
      <c r="A7" s="30" t="s">
        <v>147</v>
      </c>
      <c r="B7" s="33">
        <f>B4/40</f>
        <v>54.8</v>
      </c>
    </row>
    <row r="8" spans="1:8">
      <c r="A8" s="30" t="s">
        <v>148</v>
      </c>
      <c r="B8" s="33">
        <f>B4/(40*5)</f>
        <v>10.96</v>
      </c>
    </row>
    <row r="11" spans="1:8">
      <c r="A11" s="9" t="s">
        <v>31</v>
      </c>
      <c r="B11" s="9" t="s">
        <v>8</v>
      </c>
      <c r="C11" s="9" t="s">
        <v>32</v>
      </c>
      <c r="D11" s="9" t="s">
        <v>146</v>
      </c>
    </row>
    <row r="12" spans="1:8">
      <c r="A12" s="24" t="s">
        <v>35</v>
      </c>
      <c r="B12" s="24">
        <f>Estimación!H12</f>
        <v>160</v>
      </c>
      <c r="C12" s="35">
        <f t="shared" ref="C12:C18" si="0">B12/$B$4</f>
        <v>7.2992700729927001E-2</v>
      </c>
      <c r="D12" s="46">
        <f t="shared" ref="D12:D18" si="1">B12*$B$5</f>
        <v>28000</v>
      </c>
    </row>
    <row r="13" spans="1:8">
      <c r="A13" s="24" t="s">
        <v>37</v>
      </c>
      <c r="B13" s="24">
        <f>Estimación!H25</f>
        <v>248</v>
      </c>
      <c r="C13" s="35">
        <f t="shared" si="0"/>
        <v>0.11313868613138686</v>
      </c>
      <c r="D13" s="46">
        <f t="shared" si="1"/>
        <v>43400</v>
      </c>
    </row>
    <row r="14" spans="1:8">
      <c r="A14" s="24" t="s">
        <v>39</v>
      </c>
      <c r="B14" s="24">
        <f>Estimación!H42</f>
        <v>400</v>
      </c>
      <c r="C14" s="35">
        <f t="shared" si="0"/>
        <v>0.18248175182481752</v>
      </c>
      <c r="D14" s="46">
        <f t="shared" si="1"/>
        <v>70000</v>
      </c>
    </row>
    <row r="15" spans="1:8">
      <c r="A15" s="24" t="s">
        <v>41</v>
      </c>
      <c r="B15" s="24">
        <f>Estimación!H56</f>
        <v>296</v>
      </c>
      <c r="C15" s="35">
        <f t="shared" si="0"/>
        <v>0.13503649635036497</v>
      </c>
      <c r="D15" s="46">
        <f t="shared" si="1"/>
        <v>51800</v>
      </c>
    </row>
    <row r="16" spans="1:8">
      <c r="A16" s="24" t="s">
        <v>43</v>
      </c>
      <c r="B16" s="24">
        <f>Estimación!H71</f>
        <v>368</v>
      </c>
      <c r="C16" s="35">
        <f t="shared" si="0"/>
        <v>0.16788321167883211</v>
      </c>
      <c r="D16" s="46">
        <f t="shared" si="1"/>
        <v>64400</v>
      </c>
    </row>
    <row r="17" spans="1:4">
      <c r="A17" s="24" t="s">
        <v>45</v>
      </c>
      <c r="B17" s="24">
        <f>Estimación!H86</f>
        <v>360</v>
      </c>
      <c r="C17" s="35">
        <f t="shared" si="0"/>
        <v>0.16423357664233576</v>
      </c>
      <c r="D17" s="46">
        <f t="shared" si="1"/>
        <v>63000</v>
      </c>
    </row>
    <row r="18" spans="1:4">
      <c r="A18" s="24" t="s">
        <v>47</v>
      </c>
      <c r="B18" s="24">
        <f>Estimación!H101</f>
        <v>360</v>
      </c>
      <c r="C18" s="35">
        <f t="shared" si="0"/>
        <v>0.16423357664233576</v>
      </c>
      <c r="D18" s="46">
        <f t="shared" si="1"/>
        <v>63000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workbookViewId="0">
      <selection sqref="A1:F1"/>
    </sheetView>
  </sheetViews>
  <sheetFormatPr baseColWidth="10" defaultColWidth="9.140625" defaultRowHeight="15"/>
  <cols>
    <col min="1" max="1" width="24" customWidth="1"/>
    <col min="2" max="3" width="20" customWidth="1"/>
    <col min="4" max="4" width="42" customWidth="1"/>
    <col min="5" max="5" width="16" customWidth="1"/>
    <col min="6" max="6" width="38" customWidth="1"/>
  </cols>
  <sheetData>
    <row r="1" spans="1:6" ht="19.5">
      <c r="A1" s="69" t="s">
        <v>149</v>
      </c>
      <c r="B1" s="69"/>
      <c r="C1" s="69"/>
      <c r="D1" s="69"/>
      <c r="E1" s="69"/>
      <c r="F1" s="69"/>
    </row>
    <row r="3" spans="1:6">
      <c r="A3" s="9" t="s">
        <v>150</v>
      </c>
      <c r="B3" s="9" t="s">
        <v>151</v>
      </c>
      <c r="C3" s="9" t="s">
        <v>152</v>
      </c>
      <c r="D3" s="9" t="s">
        <v>153</v>
      </c>
      <c r="E3" s="9" t="s">
        <v>154</v>
      </c>
      <c r="F3" s="9" t="s">
        <v>155</v>
      </c>
    </row>
    <row r="4" spans="1:6" ht="30">
      <c r="A4" s="52" t="s">
        <v>156</v>
      </c>
      <c r="B4" s="52" t="s">
        <v>157</v>
      </c>
      <c r="C4" s="52" t="s">
        <v>158</v>
      </c>
      <c r="D4" s="52" t="s">
        <v>159</v>
      </c>
      <c r="E4" s="52" t="s">
        <v>160</v>
      </c>
      <c r="F4" s="52" t="s">
        <v>161</v>
      </c>
    </row>
    <row r="5" spans="1:6" ht="30">
      <c r="A5" s="52" t="s">
        <v>162</v>
      </c>
      <c r="B5" s="52" t="s">
        <v>157</v>
      </c>
      <c r="C5" s="52" t="s">
        <v>158</v>
      </c>
      <c r="D5" s="52" t="s">
        <v>163</v>
      </c>
      <c r="E5" s="52" t="s">
        <v>160</v>
      </c>
      <c r="F5" s="52" t="s">
        <v>164</v>
      </c>
    </row>
    <row r="6" spans="1:6" ht="30">
      <c r="A6" s="52" t="s">
        <v>165</v>
      </c>
      <c r="B6" s="52" t="s">
        <v>157</v>
      </c>
      <c r="C6" s="52" t="s">
        <v>166</v>
      </c>
      <c r="D6" s="52" t="s">
        <v>167</v>
      </c>
      <c r="E6" s="52" t="s">
        <v>160</v>
      </c>
      <c r="F6" s="52" t="s">
        <v>168</v>
      </c>
    </row>
    <row r="7" spans="1:6">
      <c r="A7" s="52" t="s">
        <v>169</v>
      </c>
      <c r="B7" s="52" t="s">
        <v>170</v>
      </c>
      <c r="C7" s="52" t="s">
        <v>158</v>
      </c>
      <c r="D7" s="52" t="s">
        <v>171</v>
      </c>
      <c r="E7" s="52" t="s">
        <v>172</v>
      </c>
      <c r="F7" s="52" t="s">
        <v>173</v>
      </c>
    </row>
    <row r="8" spans="1:6" ht="30">
      <c r="A8" s="52" t="s">
        <v>174</v>
      </c>
      <c r="B8" s="52" t="s">
        <v>175</v>
      </c>
      <c r="C8" s="52" t="s">
        <v>176</v>
      </c>
      <c r="D8" s="52" t="s">
        <v>177</v>
      </c>
      <c r="E8" s="52" t="s">
        <v>172</v>
      </c>
      <c r="F8" s="52" t="s">
        <v>178</v>
      </c>
    </row>
    <row r="9" spans="1:6" ht="30">
      <c r="A9" s="52" t="s">
        <v>179</v>
      </c>
      <c r="B9" s="52" t="s">
        <v>157</v>
      </c>
      <c r="C9" s="52" t="s">
        <v>166</v>
      </c>
      <c r="D9" s="52" t="s">
        <v>180</v>
      </c>
      <c r="E9" s="52" t="s">
        <v>160</v>
      </c>
      <c r="F9" s="52" t="s">
        <v>181</v>
      </c>
    </row>
    <row r="10" spans="1:6">
      <c r="A10" s="52" t="s">
        <v>182</v>
      </c>
      <c r="B10" s="52" t="s">
        <v>175</v>
      </c>
      <c r="C10" s="52" t="s">
        <v>183</v>
      </c>
      <c r="D10" s="52" t="s">
        <v>184</v>
      </c>
      <c r="E10" s="52" t="s">
        <v>160</v>
      </c>
      <c r="F10" s="52" t="s">
        <v>185</v>
      </c>
    </row>
    <row r="11" spans="1:6">
      <c r="A11" s="52" t="s">
        <v>186</v>
      </c>
      <c r="B11" s="52" t="s">
        <v>187</v>
      </c>
      <c r="C11" s="52" t="s">
        <v>188</v>
      </c>
      <c r="D11" s="52" t="s">
        <v>189</v>
      </c>
      <c r="E11" s="52" t="s">
        <v>172</v>
      </c>
      <c r="F11" s="52" t="s">
        <v>190</v>
      </c>
    </row>
    <row r="12" spans="1:6" ht="30">
      <c r="A12" s="52" t="s">
        <v>191</v>
      </c>
      <c r="B12" s="52" t="s">
        <v>157</v>
      </c>
      <c r="C12" s="52" t="s">
        <v>158</v>
      </c>
      <c r="D12" s="52" t="s">
        <v>192</v>
      </c>
      <c r="E12" s="52" t="s">
        <v>160</v>
      </c>
      <c r="F12" s="52" t="s">
        <v>193</v>
      </c>
    </row>
    <row r="13" spans="1:6" ht="30">
      <c r="A13" s="52" t="s">
        <v>194</v>
      </c>
      <c r="B13" s="52" t="s">
        <v>158</v>
      </c>
      <c r="C13" s="52" t="s">
        <v>195</v>
      </c>
      <c r="D13" s="52" t="s">
        <v>196</v>
      </c>
      <c r="E13" s="52" t="s">
        <v>197</v>
      </c>
      <c r="F13" s="52" t="s">
        <v>198</v>
      </c>
    </row>
  </sheetData>
  <mergeCells count="1">
    <mergeCell ref="A1:F1"/>
  </mergeCells>
  <conditionalFormatting sqref="E4:E13">
    <cfRule type="expression" dxfId="2" priority="1">
      <formula>E4="Completado"</formula>
    </cfRule>
    <cfRule type="expression" dxfId="1" priority="2">
      <formula>E4="En progreso"</formula>
    </cfRule>
    <cfRule type="expression" dxfId="0" priority="3">
      <formula>E4="Pendiente"</formula>
    </cfRule>
  </conditionalFormatting>
  <dataValidations count="1">
    <dataValidation type="list" sqref="E4:E13" xr:uid="{00000000-0002-0000-0300-000000000000}">
      <formula1>"Pendiente,En progreso,Completado,Bloqueado"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Estimación</vt:lpstr>
      <vt:lpstr>Costos</vt:lpstr>
      <vt:lpstr>Resumen</vt:lpstr>
      <vt:lpstr>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Guzman</dc:creator>
  <cp:lastModifiedBy>Daniel Garcia</cp:lastModifiedBy>
  <dcterms:modified xsi:type="dcterms:W3CDTF">2026-08-14T19:00:02Z</dcterms:modified>
</cp:coreProperties>
</file>